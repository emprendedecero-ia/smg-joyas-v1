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Productos" sheetId="1" r:id="rId5"/>
    <sheet state="visible" name="Buscador" sheetId="2" r:id="rId6"/>
    <sheet state="visible" name="PRECIO_MAY" sheetId="3" r:id="rId7"/>
    <sheet state="visible" name="PRECIO_MIN" sheetId="4" r:id="rId8"/>
    <sheet state="visible" name="PRECIO_ML" sheetId="5" r:id="rId9"/>
  </sheets>
  <definedNames/>
  <calcPr/>
</workbook>
</file>

<file path=xl/sharedStrings.xml><?xml version="1.0" encoding="utf-8"?>
<sst xmlns="http://schemas.openxmlformats.org/spreadsheetml/2006/main" count="326" uniqueCount="158">
  <si>
    <t>Anillos</t>
  </si>
  <si>
    <t>IMAGEN</t>
  </si>
  <si>
    <t>PRODUCTO</t>
  </si>
  <si>
    <t>DESCRIPCIÓN</t>
  </si>
  <si>
    <t>PRECIO</t>
  </si>
  <si>
    <t>AN1064</t>
  </si>
  <si>
    <t>ANILLO PYO FRUTILLA C/PIEDRAS</t>
  </si>
  <si>
    <t>CATEGORÍA</t>
  </si>
  <si>
    <t>Descripción</t>
  </si>
  <si>
    <t>AN1126</t>
  </si>
  <si>
    <t xml:space="preserve">ANILLO PYO FRUTILLA C/PIEDRAS </t>
  </si>
  <si>
    <t>Stock</t>
  </si>
  <si>
    <t>AN1133H</t>
  </si>
  <si>
    <t>ANILLO SELLO PYO HUECO C/PIEDRA 10x12mm</t>
  </si>
  <si>
    <t>Costo</t>
  </si>
  <si>
    <t>AN1137</t>
  </si>
  <si>
    <t>ANILLO HUECO PYO 11X12mm CORONA DUBLE</t>
  </si>
  <si>
    <t>PRECIO mayorista</t>
  </si>
  <si>
    <t>AN1153</t>
  </si>
  <si>
    <t>ANILLO P CRUZ SAN BENITO</t>
  </si>
  <si>
    <t>PRECIO minorista</t>
  </si>
  <si>
    <t>AN1164</t>
  </si>
  <si>
    <t>ANILLO PYO HUECO C/CORONA TIPO ROLEX</t>
  </si>
  <si>
    <t>PRECIO ML</t>
  </si>
  <si>
    <t>AN1165</t>
  </si>
  <si>
    <t>ANILLO M/S/F PYO C/8 PIEDRAS</t>
  </si>
  <si>
    <t>MAYORISTA</t>
  </si>
  <si>
    <t>AN1182</t>
  </si>
  <si>
    <t>MINORISTA</t>
  </si>
  <si>
    <t>ANILLO SAN BENITO PYO TEXTURADO</t>
  </si>
  <si>
    <t>AN1183</t>
  </si>
  <si>
    <t>ANILLO P TIPO VAN CLEFF</t>
  </si>
  <si>
    <t>AN1184</t>
  </si>
  <si>
    <t>ANILLO P CORAZON</t>
  </si>
  <si>
    <t>AN1197</t>
  </si>
  <si>
    <t>ANILLO P OM MEDITACION</t>
  </si>
  <si>
    <t>COD</t>
  </si>
  <si>
    <t>AN1203</t>
  </si>
  <si>
    <t>ANILLOS</t>
  </si>
  <si>
    <t>ANILLO P MALLA Y CORONA TIPO ROLEX C/9 PIEDRAS</t>
  </si>
  <si>
    <t>AN1208</t>
  </si>
  <si>
    <t>P C/12 PIEDRAS TIPO VAN CLEEFF O TREBOL</t>
  </si>
  <si>
    <t>AN1246</t>
  </si>
  <si>
    <t>ANILLO SAN BENITO P C7PIEDRAS</t>
  </si>
  <si>
    <t>AN1250</t>
  </si>
  <si>
    <t>ANILLO PYO ESTRIADO</t>
  </si>
  <si>
    <t>AN1253</t>
  </si>
  <si>
    <t>ANILLO SAN BENITO PYO CALADO</t>
  </si>
  <si>
    <t>AN1255</t>
  </si>
  <si>
    <t>ANILLO PYO C/5 PIEDRAS BAGUETTE</t>
  </si>
  <si>
    <t>AN1258</t>
  </si>
  <si>
    <t>ANILLO P CORONA Y ESPADAS AL COSTADO</t>
  </si>
  <si>
    <t>AN129</t>
  </si>
  <si>
    <t xml:space="preserve">ANILLO SAN BENITO PYO OVAL </t>
  </si>
  <si>
    <t>AN17</t>
  </si>
  <si>
    <t>ANILLO PYO C/PIEDRA OVAL</t>
  </si>
  <si>
    <t>AN43</t>
  </si>
  <si>
    <t>AN394</t>
  </si>
  <si>
    <t>ANILLO PYO TIPO INFINITO VARIOS U 88888</t>
  </si>
  <si>
    <t>AN428</t>
  </si>
  <si>
    <t>AN613</t>
  </si>
  <si>
    <t>ANILLO M/S/F PYO C/9 PIEDRAS</t>
  </si>
  <si>
    <t>AN522</t>
  </si>
  <si>
    <t>AN430</t>
  </si>
  <si>
    <t>ANILLO PYO C/3 PIEDRAS</t>
  </si>
  <si>
    <t>AN711</t>
  </si>
  <si>
    <t>ANILLO SELLO PYO HUECO ESTRIADO C/PIEDRA 9x10mm</t>
  </si>
  <si>
    <t>ANILLO PYO ROSETA OVAL C/11 PIEDRAS</t>
  </si>
  <si>
    <t>AN678</t>
  </si>
  <si>
    <t>ANILLO PYO MEDALLA MILAGROSA</t>
  </si>
  <si>
    <t>AN714</t>
  </si>
  <si>
    <t>ANILLO SELLO PYO HUECO C/PIEDRA 9x10mm</t>
  </si>
  <si>
    <t xml:space="preserve">ANILLO 4 GRIFAS PYO C/PIEDRA 9x11mm </t>
  </si>
  <si>
    <t>AN794E</t>
  </si>
  <si>
    <t>ANILLO SELLO PYO ENCAMISADO C/PIEDRA 10x12mm</t>
  </si>
  <si>
    <t>AN871</t>
  </si>
  <si>
    <t>ANILLO SAN BENITO PYO OCTOGONAL</t>
  </si>
  <si>
    <t>AN893</t>
  </si>
  <si>
    <t>ANILLO ENCAMISADO PYO 12X12mm CORONA DUBLE</t>
  </si>
  <si>
    <t>AN999</t>
  </si>
  <si>
    <t>ANILLO P ECO VARIOS</t>
  </si>
  <si>
    <t>ANILLOS P IMP</t>
  </si>
  <si>
    <t>IMPORTADO</t>
  </si>
  <si>
    <t>SOLITARIO P C/PIEDRA</t>
  </si>
  <si>
    <t>ANILLO SOLITARIO P C/PIEDRA</t>
  </si>
  <si>
    <t>SOLITARIO PyO C/PIEDRA</t>
  </si>
  <si>
    <t>ANILLO SOLITARIO PYO C/PIEDRA</t>
  </si>
  <si>
    <t>TOTAL ITEMS</t>
  </si>
  <si>
    <t>AN999CC</t>
  </si>
  <si>
    <t>AN999M</t>
  </si>
  <si>
    <t>AN999E</t>
  </si>
  <si>
    <t>AN999P</t>
  </si>
  <si>
    <t>AN999R</t>
  </si>
  <si>
    <t>AN999C</t>
  </si>
  <si>
    <t>ANI01</t>
  </si>
  <si>
    <t>ANI02</t>
  </si>
  <si>
    <t>IMP01</t>
  </si>
  <si>
    <t>IMP02</t>
  </si>
  <si>
    <t>IMP03</t>
  </si>
  <si>
    <t>IMP04</t>
  </si>
  <si>
    <t>DI01</t>
  </si>
  <si>
    <t>AR01</t>
  </si>
  <si>
    <t>AR35</t>
  </si>
  <si>
    <t>AR02</t>
  </si>
  <si>
    <t>AR32</t>
  </si>
  <si>
    <t>AR36</t>
  </si>
  <si>
    <t>AR33</t>
  </si>
  <si>
    <t>AR37</t>
  </si>
  <si>
    <t>AR03</t>
  </si>
  <si>
    <t>AR04</t>
  </si>
  <si>
    <t>AR34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</si>
  <si>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</si>
  <si>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</si>
  <si>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</si>
  <si>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</si>
  <si>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</si>
  <si>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</si>
  <si>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</si>
  <si>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</si>
  <si>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</si>
  <si>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</si>
  <si>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</si>
  <si>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</si>
  <si>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</si>
  <si>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</si>
  <si>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</si>
  <si>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</si>
  <si>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AR21</t>
  </si>
  <si>
    <t>AR22</t>
  </si>
  <si>
    <t>AR23</t>
  </si>
  <si>
    <t>AR24</t>
  </si>
  <si>
    <t>AR25</t>
  </si>
  <si>
    <t>AR26</t>
  </si>
  <si>
    <t>AR27</t>
  </si>
  <si>
    <t>AR41</t>
  </si>
  <si>
    <t>AR38</t>
  </si>
  <si>
    <t>AR39</t>
  </si>
  <si>
    <t>AR40</t>
  </si>
  <si>
    <t>IMP</t>
  </si>
  <si>
    <t>AROS</t>
  </si>
  <si>
    <t>AROS CORAZON C/ABRAZO P PASANTE C/MARIPOSA</t>
  </si>
  <si>
    <t>AROS CORAZON P PASANTE C/MARIPOSA</t>
  </si>
  <si>
    <t>AR03 a AR18</t>
  </si>
  <si>
    <t>AROS FORMAS P ECO PASANTES C/MARIPOSA</t>
  </si>
  <si>
    <t>AR19 a AR27</t>
  </si>
  <si>
    <t>AROS FORMAS PYO ECO PASANTES C/MARIPOSA</t>
  </si>
  <si>
    <t>AROS LADY DI P 8mm C/PIEDRAS</t>
  </si>
  <si>
    <t>AROS LADY DI PYO 10mm C/PIEDRAS</t>
  </si>
  <si>
    <t>AROS LADY DI PYO 12mm C/PIEDRAS</t>
  </si>
  <si>
    <t>AROS LADY DI PYO 8mm C/PIEDRAS</t>
  </si>
  <si>
    <t>AROS M/S/F P BANDERA ARGENTINA PASANTE C/MARIPOSA</t>
  </si>
  <si>
    <t>AROS M/S/F PYO PASANTE C/FRU FRU</t>
  </si>
  <si>
    <t>AROS NUDO DE BRUJA P PASANTE C/MARIPOSA</t>
  </si>
  <si>
    <t>AROS PIEDRA BAGUETE PASANTE C/MARIPOSA</t>
  </si>
  <si>
    <t>AROS TULIPAN ALARGADO P PASANTE C/MARIPOSA</t>
  </si>
  <si>
    <t>AROS VAN CLEEF P PASANTE C/MARIPOSA</t>
  </si>
  <si>
    <t>DIJES</t>
  </si>
  <si>
    <t>DIJE SAN BENITO P C/PIEDRAS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</si>
</sst>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[$ $]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Roboto"/>
    </font>
    <font>
      <b/>
      <color theme="1"/>
      <name val="Roboto"/>
    </font>
    <font>
      <color theme="1"/>
      <name val="Roboto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vertical="center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5" numFmtId="9" xfId="0" applyAlignment="1" applyFont="1" applyNumberFormat="1">
      <alignment readingOrder="0"/>
    </xf>
    <xf borderId="0" fillId="0" fontId="1" numFmtId="0" xfId="0" applyAlignment="1" applyFont="1">
      <alignment horizontal="center" vertical="center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BD_Produ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ECIO_MAY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19050</xdr:rowOff>
    </xdr:from>
    <xdr:ext cx="1428750" cy="514350"/>
    <xdr:sp>
      <xdr:nvSpPr>
        <xdr:cNvPr id="3" name="Shape 3"/>
        <xdr:cNvSpPr/>
      </xdr:nvSpPr>
      <xdr:spPr>
        <a:xfrm>
          <a:off x="1339425" y="160900"/>
          <a:ext cx="1410900" cy="4974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BUSCAR</a:t>
          </a:r>
          <a:endParaRPr b="1" sz="14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PRODUCTOS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0</xdr:rowOff>
    </xdr:from>
    <xdr:ext cx="1800225" cy="9525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685925" cy="9525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2" displayName="Tabla_1" name="Tabla_1" id="1">
  <tableColumns count="9">
    <tableColumn name="IMAGEN" id="1"/>
    <tableColumn name="PRODUCTO" id="2"/>
    <tableColumn name="CATEGORÍA" id="3"/>
    <tableColumn name="Descripción" id="4"/>
    <tableColumn name="Stock" id="5"/>
    <tableColumn name="Costo" id="6"/>
    <tableColumn name="PRECIO mayorista" id="7"/>
    <tableColumn name="PRECIO minorista" id="8"/>
    <tableColumn name="PRECIO ML" id="9"/>
  </tableColumns>
  <tableStyleInfo name="BD_Producto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B87" displayName="Table_1" name="Table_1" id="2">
  <tableColumns count="2">
    <tableColumn name="Column1" id="1"/>
    <tableColumn name="Column2" id="2"/>
  </tableColumns>
  <tableStyleInfo name="PRECIO_MA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20.0"/>
    <col customWidth="1" min="3" max="3" width="17.75"/>
    <col customWidth="1" min="4" max="4" width="23.88"/>
    <col customWidth="1" min="5" max="5" width="7.5"/>
    <col customWidth="1" min="6" max="6" width="11.5"/>
    <col customWidth="1" min="7" max="7" width="20.75"/>
    <col customWidth="1" min="8" max="8" width="16.13"/>
  </cols>
  <sheetData>
    <row r="1" ht="22.5" customHeight="1">
      <c r="A1" s="3" t="s">
        <v>1</v>
      </c>
      <c r="B1" s="5" t="s">
        <v>2</v>
      </c>
      <c r="C1" s="3" t="s">
        <v>7</v>
      </c>
      <c r="D1" s="7" t="s">
        <v>8</v>
      </c>
      <c r="E1" s="3" t="s">
        <v>11</v>
      </c>
      <c r="F1" s="3" t="s">
        <v>14</v>
      </c>
      <c r="G1" s="3" t="s">
        <v>17</v>
      </c>
      <c r="H1" s="8" t="s">
        <v>20</v>
      </c>
      <c r="I1" s="8" t="s">
        <v>23</v>
      </c>
      <c r="K1" s="1" t="s">
        <v>26</v>
      </c>
      <c r="L1" s="1" t="s">
        <v>28</v>
      </c>
    </row>
    <row r="2" ht="24.75" customHeight="1">
      <c r="A2" s="9"/>
      <c r="B2" s="10" t="s">
        <v>5</v>
      </c>
      <c r="C2" s="12" t="s">
        <v>38</v>
      </c>
      <c r="D2" s="14" t="s">
        <v>6</v>
      </c>
      <c r="E2" s="16">
        <v>1.0</v>
      </c>
      <c r="F2" s="18">
        <v>12000.0</v>
      </c>
      <c r="G2" s="18">
        <f t="shared" ref="G2:G52" si="1">F2*(1+$K$2)</f>
        <v>15600</v>
      </c>
      <c r="H2" s="19">
        <f t="shared" ref="H2:H52" si="2">G2*(1+$L$2)</f>
        <v>22776</v>
      </c>
      <c r="I2" s="19">
        <f t="shared" ref="I2:I52" si="3">F2*3.5</f>
        <v>42000</v>
      </c>
      <c r="J2" s="21"/>
      <c r="K2" s="23">
        <v>0.3</v>
      </c>
      <c r="L2" s="23">
        <v>0.46</v>
      </c>
      <c r="M2" s="25" t="s">
        <v>87</v>
      </c>
      <c r="N2" s="26">
        <v>84.0</v>
      </c>
    </row>
    <row r="3" ht="23.25" customHeight="1">
      <c r="A3" s="9"/>
      <c r="B3" s="10" t="s">
        <v>9</v>
      </c>
      <c r="C3" s="12" t="s">
        <v>38</v>
      </c>
      <c r="D3" s="14" t="s">
        <v>10</v>
      </c>
      <c r="E3" s="16">
        <v>1.0</v>
      </c>
      <c r="F3" s="18">
        <v>15400.0</v>
      </c>
      <c r="G3" s="18">
        <f t="shared" si="1"/>
        <v>20020</v>
      </c>
      <c r="H3" s="19">
        <f t="shared" si="2"/>
        <v>29229.2</v>
      </c>
      <c r="I3" s="19">
        <f t="shared" si="3"/>
        <v>53900</v>
      </c>
    </row>
    <row r="4" ht="27.75" customHeight="1">
      <c r="A4" s="9"/>
      <c r="B4" s="10" t="s">
        <v>12</v>
      </c>
      <c r="C4" s="12" t="s">
        <v>38</v>
      </c>
      <c r="D4" s="14" t="s">
        <v>13</v>
      </c>
      <c r="E4" s="16">
        <v>2.0</v>
      </c>
      <c r="F4" s="18">
        <v>29900.0</v>
      </c>
      <c r="G4" s="18">
        <f t="shared" si="1"/>
        <v>38870</v>
      </c>
      <c r="H4" s="19">
        <f t="shared" si="2"/>
        <v>56750.2</v>
      </c>
      <c r="I4" s="19">
        <f t="shared" si="3"/>
        <v>104650</v>
      </c>
    </row>
    <row r="5" ht="26.25" customHeight="1">
      <c r="A5" s="9"/>
      <c r="B5" s="10" t="s">
        <v>15</v>
      </c>
      <c r="C5" s="12" t="s">
        <v>38</v>
      </c>
      <c r="D5" s="14" t="s">
        <v>16</v>
      </c>
      <c r="E5" s="16">
        <v>1.0</v>
      </c>
      <c r="F5" s="18">
        <v>25500.0</v>
      </c>
      <c r="G5" s="18">
        <f t="shared" si="1"/>
        <v>33150</v>
      </c>
      <c r="H5" s="19">
        <f t="shared" si="2"/>
        <v>48399</v>
      </c>
      <c r="I5" s="19">
        <f t="shared" si="3"/>
        <v>89250</v>
      </c>
    </row>
    <row r="6" ht="20.25" customHeight="1">
      <c r="A6" s="9"/>
      <c r="B6" s="10" t="s">
        <v>18</v>
      </c>
      <c r="C6" s="12" t="s">
        <v>38</v>
      </c>
      <c r="D6" s="14" t="s">
        <v>19</v>
      </c>
      <c r="E6" s="16">
        <v>1.0</v>
      </c>
      <c r="F6" s="18">
        <v>24000.0</v>
      </c>
      <c r="G6" s="18">
        <f t="shared" si="1"/>
        <v>31200</v>
      </c>
      <c r="H6" s="19">
        <f t="shared" si="2"/>
        <v>45552</v>
      </c>
      <c r="I6" s="19">
        <f t="shared" si="3"/>
        <v>84000</v>
      </c>
    </row>
    <row r="7" ht="26.25" customHeight="1">
      <c r="A7" s="9"/>
      <c r="B7" s="10" t="s">
        <v>21</v>
      </c>
      <c r="C7" s="12" t="s">
        <v>38</v>
      </c>
      <c r="D7" s="14" t="s">
        <v>22</v>
      </c>
      <c r="E7" s="16">
        <v>1.0</v>
      </c>
      <c r="F7" s="18">
        <v>16500.0</v>
      </c>
      <c r="G7" s="18">
        <f t="shared" si="1"/>
        <v>21450</v>
      </c>
      <c r="H7" s="19">
        <f t="shared" si="2"/>
        <v>31317</v>
      </c>
      <c r="I7" s="19">
        <f t="shared" si="3"/>
        <v>57750</v>
      </c>
    </row>
    <row r="8" ht="22.5" customHeight="1">
      <c r="A8" s="9"/>
      <c r="B8" s="10" t="s">
        <v>24</v>
      </c>
      <c r="C8" s="29" t="s">
        <v>38</v>
      </c>
      <c r="D8" s="10" t="s">
        <v>25</v>
      </c>
      <c r="E8" s="30">
        <v>1.0</v>
      </c>
      <c r="F8" s="31">
        <v>8300.0</v>
      </c>
      <c r="G8" s="31">
        <f t="shared" si="1"/>
        <v>10790</v>
      </c>
      <c r="H8" s="19">
        <f t="shared" si="2"/>
        <v>15753.4</v>
      </c>
      <c r="I8" s="19">
        <f t="shared" si="3"/>
        <v>29050</v>
      </c>
    </row>
    <row r="9" ht="22.5" customHeight="1">
      <c r="A9" s="9"/>
      <c r="B9" s="10" t="s">
        <v>27</v>
      </c>
      <c r="C9" s="29" t="s">
        <v>38</v>
      </c>
      <c r="D9" s="10" t="s">
        <v>29</v>
      </c>
      <c r="E9" s="30">
        <v>1.0</v>
      </c>
      <c r="F9" s="31">
        <v>14000.0</v>
      </c>
      <c r="G9" s="31">
        <f t="shared" si="1"/>
        <v>18200</v>
      </c>
      <c r="H9" s="19">
        <f t="shared" si="2"/>
        <v>26572</v>
      </c>
      <c r="I9" s="19">
        <f t="shared" si="3"/>
        <v>49000</v>
      </c>
    </row>
    <row r="10" ht="22.5" customHeight="1">
      <c r="A10" s="9"/>
      <c r="B10" s="10" t="s">
        <v>30</v>
      </c>
      <c r="C10" s="29" t="s">
        <v>38</v>
      </c>
      <c r="D10" s="10" t="s">
        <v>31</v>
      </c>
      <c r="E10" s="30">
        <v>1.0</v>
      </c>
      <c r="F10" s="31">
        <v>14500.0</v>
      </c>
      <c r="G10" s="31">
        <f t="shared" si="1"/>
        <v>18850</v>
      </c>
      <c r="H10" s="19">
        <f t="shared" si="2"/>
        <v>27521</v>
      </c>
      <c r="I10" s="19">
        <f t="shared" si="3"/>
        <v>50750</v>
      </c>
    </row>
    <row r="11" ht="22.5" customHeight="1">
      <c r="A11" s="9"/>
      <c r="B11" s="10" t="s">
        <v>32</v>
      </c>
      <c r="C11" s="29" t="s">
        <v>38</v>
      </c>
      <c r="D11" s="10" t="s">
        <v>33</v>
      </c>
      <c r="E11" s="30">
        <v>1.0</v>
      </c>
      <c r="F11" s="31">
        <v>14900.0</v>
      </c>
      <c r="G11" s="31">
        <f t="shared" si="1"/>
        <v>19370</v>
      </c>
      <c r="H11" s="19">
        <f t="shared" si="2"/>
        <v>28280.2</v>
      </c>
      <c r="I11" s="19">
        <f t="shared" si="3"/>
        <v>52150</v>
      </c>
    </row>
    <row r="12" ht="22.5" customHeight="1">
      <c r="A12" s="9"/>
      <c r="B12" s="10" t="s">
        <v>34</v>
      </c>
      <c r="C12" s="29" t="s">
        <v>38</v>
      </c>
      <c r="D12" s="10" t="s">
        <v>35</v>
      </c>
      <c r="E12" s="30">
        <v>1.0</v>
      </c>
      <c r="F12" s="31">
        <v>31300.0</v>
      </c>
      <c r="G12" s="31">
        <f t="shared" si="1"/>
        <v>40690</v>
      </c>
      <c r="H12" s="19">
        <f t="shared" si="2"/>
        <v>59407.4</v>
      </c>
      <c r="I12" s="19">
        <f t="shared" si="3"/>
        <v>109550</v>
      </c>
    </row>
    <row r="13" ht="22.5" customHeight="1">
      <c r="A13" s="9"/>
      <c r="B13" s="10" t="s">
        <v>37</v>
      </c>
      <c r="C13" s="29" t="s">
        <v>38</v>
      </c>
      <c r="D13" s="10" t="s">
        <v>39</v>
      </c>
      <c r="E13" s="30">
        <v>1.0</v>
      </c>
      <c r="F13" s="31">
        <v>16300.0</v>
      </c>
      <c r="G13" s="31">
        <f t="shared" si="1"/>
        <v>21190</v>
      </c>
      <c r="H13" s="19">
        <f t="shared" si="2"/>
        <v>30937.4</v>
      </c>
      <c r="I13" s="19">
        <f t="shared" si="3"/>
        <v>57050</v>
      </c>
    </row>
    <row r="14" ht="22.5" customHeight="1">
      <c r="A14" s="9"/>
      <c r="B14" s="10" t="s">
        <v>40</v>
      </c>
      <c r="C14" s="29" t="s">
        <v>38</v>
      </c>
      <c r="D14" s="10" t="s">
        <v>41</v>
      </c>
      <c r="E14" s="30">
        <v>1.0</v>
      </c>
      <c r="F14" s="31">
        <v>12200.0</v>
      </c>
      <c r="G14" s="31">
        <f t="shared" si="1"/>
        <v>15860</v>
      </c>
      <c r="H14" s="19">
        <f t="shared" si="2"/>
        <v>23155.6</v>
      </c>
      <c r="I14" s="19">
        <f t="shared" si="3"/>
        <v>42700</v>
      </c>
    </row>
    <row r="15" ht="22.5" customHeight="1">
      <c r="A15" s="9"/>
      <c r="B15" s="10" t="s">
        <v>42</v>
      </c>
      <c r="C15" s="29" t="s">
        <v>38</v>
      </c>
      <c r="D15" s="10" t="s">
        <v>43</v>
      </c>
      <c r="E15" s="30">
        <v>1.0</v>
      </c>
      <c r="F15" s="31">
        <v>27100.0</v>
      </c>
      <c r="G15" s="31">
        <f t="shared" si="1"/>
        <v>35230</v>
      </c>
      <c r="H15" s="19">
        <f t="shared" si="2"/>
        <v>51435.8</v>
      </c>
      <c r="I15" s="19">
        <f t="shared" si="3"/>
        <v>94850</v>
      </c>
    </row>
    <row r="16" ht="22.5" customHeight="1">
      <c r="A16" s="9"/>
      <c r="B16" s="10" t="s">
        <v>44</v>
      </c>
      <c r="C16" s="29" t="s">
        <v>38</v>
      </c>
      <c r="D16" s="10" t="s">
        <v>45</v>
      </c>
      <c r="E16" s="30">
        <v>1.0</v>
      </c>
      <c r="F16" s="31">
        <v>30000.0</v>
      </c>
      <c r="G16" s="31">
        <f t="shared" si="1"/>
        <v>39000</v>
      </c>
      <c r="H16" s="19">
        <f t="shared" si="2"/>
        <v>56940</v>
      </c>
      <c r="I16" s="19">
        <f t="shared" si="3"/>
        <v>105000</v>
      </c>
    </row>
    <row r="17" ht="22.5" customHeight="1">
      <c r="A17" s="9"/>
      <c r="B17" s="10" t="s">
        <v>46</v>
      </c>
      <c r="C17" s="29" t="s">
        <v>38</v>
      </c>
      <c r="D17" s="10" t="s">
        <v>47</v>
      </c>
      <c r="E17" s="30">
        <v>1.0</v>
      </c>
      <c r="F17" s="31">
        <v>15900.0</v>
      </c>
      <c r="G17" s="31">
        <f t="shared" si="1"/>
        <v>20670</v>
      </c>
      <c r="H17" s="19">
        <f t="shared" si="2"/>
        <v>30178.2</v>
      </c>
      <c r="I17" s="19">
        <f t="shared" si="3"/>
        <v>55650</v>
      </c>
    </row>
    <row r="18" ht="22.5" customHeight="1">
      <c r="A18" s="9"/>
      <c r="B18" s="10" t="s">
        <v>48</v>
      </c>
      <c r="C18" s="29" t="s">
        <v>38</v>
      </c>
      <c r="D18" s="10" t="s">
        <v>49</v>
      </c>
      <c r="E18" s="30">
        <v>1.0</v>
      </c>
      <c r="F18" s="31">
        <v>19500.0</v>
      </c>
      <c r="G18" s="31">
        <f t="shared" si="1"/>
        <v>25350</v>
      </c>
      <c r="H18" s="19">
        <f t="shared" si="2"/>
        <v>37011</v>
      </c>
      <c r="I18" s="19">
        <f t="shared" si="3"/>
        <v>68250</v>
      </c>
    </row>
    <row r="19" ht="22.5" customHeight="1">
      <c r="A19" s="9"/>
      <c r="B19" s="10" t="s">
        <v>50</v>
      </c>
      <c r="C19" s="29" t="s">
        <v>38</v>
      </c>
      <c r="D19" s="10" t="s">
        <v>51</v>
      </c>
      <c r="E19" s="30">
        <v>1.0</v>
      </c>
      <c r="F19" s="31">
        <v>19900.0</v>
      </c>
      <c r="G19" s="31">
        <f t="shared" si="1"/>
        <v>25870</v>
      </c>
      <c r="H19" s="19">
        <f t="shared" si="2"/>
        <v>37770.2</v>
      </c>
      <c r="I19" s="19">
        <f t="shared" si="3"/>
        <v>69650</v>
      </c>
    </row>
    <row r="20" ht="22.5" customHeight="1">
      <c r="A20" s="9"/>
      <c r="B20" s="10" t="s">
        <v>52</v>
      </c>
      <c r="C20" s="29" t="s">
        <v>38</v>
      </c>
      <c r="D20" s="10" t="s">
        <v>53</v>
      </c>
      <c r="E20" s="30">
        <v>1.0</v>
      </c>
      <c r="F20" s="31">
        <v>31400.0</v>
      </c>
      <c r="G20" s="31">
        <f t="shared" si="1"/>
        <v>40820</v>
      </c>
      <c r="H20" s="19">
        <f t="shared" si="2"/>
        <v>59597.2</v>
      </c>
      <c r="I20" s="19">
        <f t="shared" si="3"/>
        <v>109900</v>
      </c>
      <c r="J20" s="32"/>
      <c r="K20" s="32"/>
      <c r="L20" s="32"/>
      <c r="M20" s="32"/>
    </row>
    <row r="21" ht="22.5" customHeight="1">
      <c r="A21" s="9"/>
      <c r="B21" s="10" t="s">
        <v>54</v>
      </c>
      <c r="C21" s="29" t="s">
        <v>38</v>
      </c>
      <c r="D21" s="10" t="s">
        <v>55</v>
      </c>
      <c r="E21" s="30">
        <v>1.0</v>
      </c>
      <c r="F21" s="31">
        <v>26500.0</v>
      </c>
      <c r="G21" s="31">
        <f t="shared" si="1"/>
        <v>34450</v>
      </c>
      <c r="H21" s="19">
        <f t="shared" si="2"/>
        <v>50297</v>
      </c>
      <c r="I21" s="19">
        <f t="shared" si="3"/>
        <v>92750</v>
      </c>
    </row>
    <row r="22" ht="22.5" customHeight="1">
      <c r="A22" s="9"/>
      <c r="B22" s="10" t="s">
        <v>57</v>
      </c>
      <c r="C22" s="29" t="s">
        <v>38</v>
      </c>
      <c r="D22" s="10" t="s">
        <v>58</v>
      </c>
      <c r="E22" s="30">
        <v>1.0</v>
      </c>
      <c r="F22" s="31">
        <v>22700.0</v>
      </c>
      <c r="G22" s="31">
        <f t="shared" si="1"/>
        <v>29510</v>
      </c>
      <c r="H22" s="19">
        <f t="shared" si="2"/>
        <v>43084.6</v>
      </c>
      <c r="I22" s="19">
        <f t="shared" si="3"/>
        <v>79450</v>
      </c>
    </row>
    <row r="23" ht="22.5" customHeight="1">
      <c r="A23" s="9"/>
      <c r="B23" s="10" t="s">
        <v>59</v>
      </c>
      <c r="C23" s="29" t="s">
        <v>38</v>
      </c>
      <c r="D23" s="10" t="s">
        <v>61</v>
      </c>
      <c r="E23" s="30">
        <v>1.0</v>
      </c>
      <c r="F23" s="31">
        <v>8300.0</v>
      </c>
      <c r="G23" s="31">
        <f t="shared" si="1"/>
        <v>10790</v>
      </c>
      <c r="H23" s="19">
        <f t="shared" si="2"/>
        <v>15753.4</v>
      </c>
      <c r="I23" s="19">
        <f t="shared" si="3"/>
        <v>29050</v>
      </c>
    </row>
    <row r="24" ht="22.5" customHeight="1">
      <c r="A24" s="9"/>
      <c r="B24" s="10" t="s">
        <v>56</v>
      </c>
      <c r="C24" s="29" t="s">
        <v>38</v>
      </c>
      <c r="D24" s="10" t="s">
        <v>10</v>
      </c>
      <c r="E24" s="30">
        <v>1.0</v>
      </c>
      <c r="F24" s="31">
        <v>26000.0</v>
      </c>
      <c r="G24" s="31">
        <f t="shared" si="1"/>
        <v>33800</v>
      </c>
      <c r="H24" s="19">
        <f t="shared" si="2"/>
        <v>49348</v>
      </c>
      <c r="I24" s="19">
        <f t="shared" si="3"/>
        <v>91000</v>
      </c>
    </row>
    <row r="25" ht="22.5" customHeight="1">
      <c r="A25" s="9"/>
      <c r="B25" s="10" t="s">
        <v>63</v>
      </c>
      <c r="C25" s="29" t="s">
        <v>38</v>
      </c>
      <c r="D25" s="10" t="s">
        <v>64</v>
      </c>
      <c r="E25" s="30">
        <v>1.0</v>
      </c>
      <c r="F25" s="31">
        <v>21000.0</v>
      </c>
      <c r="G25" s="31">
        <f t="shared" si="1"/>
        <v>27300</v>
      </c>
      <c r="H25" s="19">
        <f t="shared" si="2"/>
        <v>39858</v>
      </c>
      <c r="I25" s="19">
        <f t="shared" si="3"/>
        <v>73500</v>
      </c>
    </row>
    <row r="26" ht="22.5" customHeight="1">
      <c r="A26" s="9"/>
      <c r="B26" s="10" t="s">
        <v>62</v>
      </c>
      <c r="C26" s="29" t="s">
        <v>38</v>
      </c>
      <c r="D26" s="10" t="s">
        <v>66</v>
      </c>
      <c r="E26" s="30">
        <v>1.0</v>
      </c>
      <c r="F26" s="31">
        <v>24700.0</v>
      </c>
      <c r="G26" s="31">
        <f t="shared" si="1"/>
        <v>32110</v>
      </c>
      <c r="H26" s="19">
        <f t="shared" si="2"/>
        <v>46880.6</v>
      </c>
      <c r="I26" s="19">
        <f t="shared" si="3"/>
        <v>86450</v>
      </c>
    </row>
    <row r="27" ht="22.5" customHeight="1">
      <c r="A27" s="9"/>
      <c r="B27" s="10" t="s">
        <v>60</v>
      </c>
      <c r="C27" s="29" t="s">
        <v>38</v>
      </c>
      <c r="D27" s="10" t="s">
        <v>67</v>
      </c>
      <c r="E27" s="30">
        <v>1.0</v>
      </c>
      <c r="F27" s="31">
        <v>17100.0</v>
      </c>
      <c r="G27" s="31">
        <f t="shared" si="1"/>
        <v>22230</v>
      </c>
      <c r="H27" s="19">
        <f t="shared" si="2"/>
        <v>32455.8</v>
      </c>
      <c r="I27" s="19">
        <f t="shared" si="3"/>
        <v>59850</v>
      </c>
    </row>
    <row r="28" ht="22.5" customHeight="1">
      <c r="A28" s="9"/>
      <c r="B28" s="10" t="s">
        <v>68</v>
      </c>
      <c r="C28" s="29" t="s">
        <v>38</v>
      </c>
      <c r="D28" s="10" t="s">
        <v>69</v>
      </c>
      <c r="E28" s="30">
        <v>1.0</v>
      </c>
      <c r="F28" s="31">
        <v>33400.0</v>
      </c>
      <c r="G28" s="31">
        <f t="shared" si="1"/>
        <v>43420</v>
      </c>
      <c r="H28" s="19">
        <f t="shared" si="2"/>
        <v>63393.2</v>
      </c>
      <c r="I28" s="19">
        <f t="shared" si="3"/>
        <v>116900</v>
      </c>
    </row>
    <row r="29" ht="22.5" customHeight="1">
      <c r="A29" s="9"/>
      <c r="B29" s="10" t="s">
        <v>65</v>
      </c>
      <c r="C29" s="29" t="s">
        <v>38</v>
      </c>
      <c r="D29" s="10" t="s">
        <v>71</v>
      </c>
      <c r="E29" s="30">
        <v>1.0</v>
      </c>
      <c r="F29" s="31">
        <v>24700.0</v>
      </c>
      <c r="G29" s="31">
        <f t="shared" si="1"/>
        <v>32110</v>
      </c>
      <c r="H29" s="19">
        <f t="shared" si="2"/>
        <v>46880.6</v>
      </c>
      <c r="I29" s="19">
        <f t="shared" si="3"/>
        <v>86450</v>
      </c>
    </row>
    <row r="30" ht="22.5" customHeight="1">
      <c r="A30" s="9"/>
      <c r="B30" s="10" t="s">
        <v>70</v>
      </c>
      <c r="C30" s="29" t="s">
        <v>38</v>
      </c>
      <c r="D30" s="10" t="s">
        <v>72</v>
      </c>
      <c r="E30" s="30">
        <v>1.0</v>
      </c>
      <c r="F30" s="31">
        <v>18400.0</v>
      </c>
      <c r="G30" s="31">
        <f t="shared" si="1"/>
        <v>23920</v>
      </c>
      <c r="H30" s="19">
        <f t="shared" si="2"/>
        <v>34923.2</v>
      </c>
      <c r="I30" s="19">
        <f t="shared" si="3"/>
        <v>64400</v>
      </c>
    </row>
    <row r="31" ht="22.5" customHeight="1">
      <c r="A31" s="9"/>
      <c r="B31" s="10" t="s">
        <v>73</v>
      </c>
      <c r="C31" s="29" t="s">
        <v>38</v>
      </c>
      <c r="D31" s="10" t="s">
        <v>74</v>
      </c>
      <c r="E31" s="30">
        <v>2.0</v>
      </c>
      <c r="F31" s="31">
        <v>34000.0</v>
      </c>
      <c r="G31" s="31">
        <f t="shared" si="1"/>
        <v>44200</v>
      </c>
      <c r="H31" s="19">
        <f t="shared" si="2"/>
        <v>64532</v>
      </c>
      <c r="I31" s="19">
        <f t="shared" si="3"/>
        <v>119000</v>
      </c>
    </row>
    <row r="32" ht="22.5" customHeight="1">
      <c r="A32" s="9"/>
      <c r="B32" s="10" t="s">
        <v>75</v>
      </c>
      <c r="C32" s="29" t="s">
        <v>38</v>
      </c>
      <c r="D32" s="10" t="s">
        <v>76</v>
      </c>
      <c r="E32" s="30">
        <v>1.0</v>
      </c>
      <c r="F32" s="31">
        <v>26000.0</v>
      </c>
      <c r="G32" s="31">
        <f t="shared" si="1"/>
        <v>33800</v>
      </c>
      <c r="H32" s="19">
        <f t="shared" si="2"/>
        <v>49348</v>
      </c>
      <c r="I32" s="19">
        <f t="shared" si="3"/>
        <v>91000</v>
      </c>
    </row>
    <row r="33" ht="22.5" customHeight="1">
      <c r="A33" s="9"/>
      <c r="B33" s="10" t="s">
        <v>77</v>
      </c>
      <c r="C33" s="29" t="s">
        <v>38</v>
      </c>
      <c r="D33" s="10" t="s">
        <v>78</v>
      </c>
      <c r="E33" s="30">
        <v>1.0</v>
      </c>
      <c r="F33" s="31">
        <v>27300.0</v>
      </c>
      <c r="G33" s="31">
        <f t="shared" si="1"/>
        <v>35490</v>
      </c>
      <c r="H33" s="19">
        <f t="shared" si="2"/>
        <v>51815.4</v>
      </c>
      <c r="I33" s="19">
        <f t="shared" si="3"/>
        <v>95550</v>
      </c>
    </row>
    <row r="34" ht="22.5" customHeight="1">
      <c r="A34" s="9"/>
      <c r="B34" s="10" t="s">
        <v>79</v>
      </c>
      <c r="C34" s="29" t="s">
        <v>38</v>
      </c>
      <c r="D34" s="10" t="s">
        <v>80</v>
      </c>
      <c r="E34" s="30">
        <v>6.0</v>
      </c>
      <c r="F34" s="31">
        <v>6900.0</v>
      </c>
      <c r="G34" s="31">
        <f t="shared" si="1"/>
        <v>8970</v>
      </c>
      <c r="H34" s="19">
        <f t="shared" si="2"/>
        <v>13096.2</v>
      </c>
      <c r="I34" s="19">
        <f t="shared" si="3"/>
        <v>24150</v>
      </c>
    </row>
    <row r="35" ht="22.5" customHeight="1">
      <c r="A35" s="9"/>
      <c r="B35" s="10" t="s">
        <v>138</v>
      </c>
      <c r="C35" s="29" t="s">
        <v>38</v>
      </c>
      <c r="D35" s="10" t="s">
        <v>82</v>
      </c>
      <c r="E35" s="30">
        <v>4.0</v>
      </c>
      <c r="F35" s="31">
        <v>4400.0</v>
      </c>
      <c r="G35" s="31">
        <f t="shared" si="1"/>
        <v>5720</v>
      </c>
      <c r="H35" s="19">
        <f t="shared" si="2"/>
        <v>8351.2</v>
      </c>
      <c r="I35" s="19">
        <f t="shared" si="3"/>
        <v>15400</v>
      </c>
    </row>
    <row r="36" ht="22.5" customHeight="1">
      <c r="A36" s="9"/>
      <c r="B36" s="10" t="s">
        <v>94</v>
      </c>
      <c r="C36" s="29" t="s">
        <v>38</v>
      </c>
      <c r="D36" s="10" t="s">
        <v>84</v>
      </c>
      <c r="E36" s="30">
        <v>1.0</v>
      </c>
      <c r="F36" s="31">
        <v>7500.0</v>
      </c>
      <c r="G36" s="31">
        <f t="shared" si="1"/>
        <v>9750</v>
      </c>
      <c r="H36" s="19">
        <f t="shared" si="2"/>
        <v>14235</v>
      </c>
      <c r="I36" s="19">
        <f t="shared" si="3"/>
        <v>26250</v>
      </c>
    </row>
    <row r="37" ht="22.5" customHeight="1">
      <c r="A37" s="9"/>
      <c r="B37" s="10" t="s">
        <v>95</v>
      </c>
      <c r="C37" s="29" t="s">
        <v>38</v>
      </c>
      <c r="D37" s="14" t="s">
        <v>86</v>
      </c>
      <c r="E37" s="16">
        <v>1.0</v>
      </c>
      <c r="F37" s="18">
        <v>9200.0</v>
      </c>
      <c r="G37" s="18">
        <f t="shared" si="1"/>
        <v>11960</v>
      </c>
      <c r="H37" s="19">
        <f t="shared" si="2"/>
        <v>17461.6</v>
      </c>
      <c r="I37" s="19">
        <f t="shared" si="3"/>
        <v>32200</v>
      </c>
    </row>
    <row r="38" ht="22.5" customHeight="1">
      <c r="A38" s="9"/>
      <c r="B38" s="10" t="s">
        <v>101</v>
      </c>
      <c r="C38" s="29" t="s">
        <v>139</v>
      </c>
      <c r="D38" s="14" t="s">
        <v>140</v>
      </c>
      <c r="E38" s="16">
        <v>1.0</v>
      </c>
      <c r="F38" s="18">
        <v>6200.0</v>
      </c>
      <c r="G38" s="18">
        <f t="shared" si="1"/>
        <v>8060</v>
      </c>
      <c r="H38" s="19">
        <f t="shared" si="2"/>
        <v>11767.6</v>
      </c>
      <c r="I38" s="19">
        <f t="shared" si="3"/>
        <v>21700</v>
      </c>
    </row>
    <row r="39" ht="22.5" customHeight="1">
      <c r="A39" s="9"/>
      <c r="B39" s="10" t="s">
        <v>103</v>
      </c>
      <c r="C39" s="29" t="s">
        <v>139</v>
      </c>
      <c r="D39" s="14" t="s">
        <v>141</v>
      </c>
      <c r="E39" s="16">
        <v>1.0</v>
      </c>
      <c r="F39" s="18">
        <v>4500.0</v>
      </c>
      <c r="G39" s="18">
        <f t="shared" si="1"/>
        <v>5850</v>
      </c>
      <c r="H39" s="19">
        <f t="shared" si="2"/>
        <v>8541</v>
      </c>
      <c r="I39" s="19">
        <f t="shared" si="3"/>
        <v>15750</v>
      </c>
    </row>
    <row r="40" ht="22.5" customHeight="1">
      <c r="A40" s="9"/>
      <c r="B40" s="10" t="s">
        <v>142</v>
      </c>
      <c r="C40" s="29" t="s">
        <v>139</v>
      </c>
      <c r="D40" s="14" t="s">
        <v>143</v>
      </c>
      <c r="E40" s="16">
        <v>16.0</v>
      </c>
      <c r="F40" s="18">
        <v>4900.0</v>
      </c>
      <c r="G40" s="18">
        <f t="shared" si="1"/>
        <v>6370</v>
      </c>
      <c r="H40" s="19">
        <f t="shared" si="2"/>
        <v>9300.2</v>
      </c>
      <c r="I40" s="19">
        <f t="shared" si="3"/>
        <v>17150</v>
      </c>
    </row>
    <row r="41" ht="22.5" customHeight="1">
      <c r="A41" s="9"/>
      <c r="B41" s="10" t="s">
        <v>144</v>
      </c>
      <c r="C41" s="29" t="s">
        <v>139</v>
      </c>
      <c r="D41" s="14" t="s">
        <v>145</v>
      </c>
      <c r="E41" s="16">
        <v>9.0</v>
      </c>
      <c r="F41" s="18">
        <v>5900.0</v>
      </c>
      <c r="G41" s="18">
        <f t="shared" si="1"/>
        <v>7670</v>
      </c>
      <c r="H41" s="19">
        <f t="shared" si="2"/>
        <v>11198.2</v>
      </c>
      <c r="I41" s="19">
        <f t="shared" si="3"/>
        <v>20650</v>
      </c>
    </row>
    <row r="42" ht="22.5" customHeight="1">
      <c r="A42" s="9"/>
      <c r="B42" s="10" t="s">
        <v>134</v>
      </c>
      <c r="C42" s="29" t="s">
        <v>139</v>
      </c>
      <c r="D42" s="14" t="s">
        <v>146</v>
      </c>
      <c r="E42" s="16">
        <v>1.0</v>
      </c>
      <c r="F42" s="18">
        <v>14000.0</v>
      </c>
      <c r="G42" s="18">
        <f t="shared" si="1"/>
        <v>18200</v>
      </c>
      <c r="H42" s="19">
        <f t="shared" si="2"/>
        <v>26572</v>
      </c>
      <c r="I42" s="19">
        <f t="shared" si="3"/>
        <v>49000</v>
      </c>
    </row>
    <row r="43" ht="22.5" customHeight="1">
      <c r="A43" s="9"/>
      <c r="B43" s="10" t="s">
        <v>136</v>
      </c>
      <c r="C43" s="29" t="s">
        <v>139</v>
      </c>
      <c r="D43" s="14" t="s">
        <v>147</v>
      </c>
      <c r="E43" s="16">
        <v>1.0</v>
      </c>
      <c r="F43" s="18">
        <v>19000.0</v>
      </c>
      <c r="G43" s="18">
        <f t="shared" si="1"/>
        <v>24700</v>
      </c>
      <c r="H43" s="19">
        <f t="shared" si="2"/>
        <v>36062</v>
      </c>
      <c r="I43" s="19">
        <f t="shared" si="3"/>
        <v>66500</v>
      </c>
    </row>
    <row r="44" ht="22.5" customHeight="1">
      <c r="A44" s="9"/>
      <c r="B44" s="10" t="s">
        <v>137</v>
      </c>
      <c r="C44" s="29" t="s">
        <v>139</v>
      </c>
      <c r="D44" s="14" t="s">
        <v>148</v>
      </c>
      <c r="E44" s="16">
        <v>1.0</v>
      </c>
      <c r="F44" s="18">
        <v>20500.0</v>
      </c>
      <c r="G44" s="18">
        <f t="shared" si="1"/>
        <v>26650</v>
      </c>
      <c r="H44" s="19">
        <f t="shared" si="2"/>
        <v>38909</v>
      </c>
      <c r="I44" s="19">
        <f t="shared" si="3"/>
        <v>71750</v>
      </c>
    </row>
    <row r="45" ht="22.5" customHeight="1">
      <c r="A45" s="9"/>
      <c r="B45" s="10" t="s">
        <v>135</v>
      </c>
      <c r="C45" s="29" t="s">
        <v>139</v>
      </c>
      <c r="D45" s="14" t="s">
        <v>149</v>
      </c>
      <c r="E45" s="16">
        <v>1.0</v>
      </c>
      <c r="F45" s="18">
        <v>15800.0</v>
      </c>
      <c r="G45" s="18">
        <f t="shared" si="1"/>
        <v>20540</v>
      </c>
      <c r="H45" s="19">
        <f t="shared" si="2"/>
        <v>29988.4</v>
      </c>
      <c r="I45" s="19">
        <f t="shared" si="3"/>
        <v>55300</v>
      </c>
    </row>
    <row r="46" ht="22.5" customHeight="1">
      <c r="A46" s="9"/>
      <c r="B46" s="10" t="s">
        <v>104</v>
      </c>
      <c r="C46" s="29" t="s">
        <v>139</v>
      </c>
      <c r="D46" s="14" t="s">
        <v>150</v>
      </c>
      <c r="E46" s="16">
        <v>1.0</v>
      </c>
      <c r="F46" s="18">
        <v>8700.0</v>
      </c>
      <c r="G46" s="18">
        <f t="shared" si="1"/>
        <v>11310</v>
      </c>
      <c r="H46" s="19">
        <f t="shared" si="2"/>
        <v>16512.6</v>
      </c>
      <c r="I46" s="19">
        <f t="shared" si="3"/>
        <v>30450</v>
      </c>
    </row>
    <row r="47" ht="22.5" customHeight="1">
      <c r="A47" s="9"/>
      <c r="B47" s="10" t="s">
        <v>106</v>
      </c>
      <c r="C47" s="29" t="s">
        <v>139</v>
      </c>
      <c r="D47" s="14" t="s">
        <v>151</v>
      </c>
      <c r="E47" s="16">
        <v>1.0</v>
      </c>
      <c r="F47" s="18">
        <v>9200.0</v>
      </c>
      <c r="G47" s="18">
        <f t="shared" si="1"/>
        <v>11960</v>
      </c>
      <c r="H47" s="19">
        <f t="shared" si="2"/>
        <v>17461.6</v>
      </c>
      <c r="I47" s="19">
        <f t="shared" si="3"/>
        <v>32200</v>
      </c>
    </row>
    <row r="48" ht="22.5" customHeight="1">
      <c r="A48" s="9"/>
      <c r="B48" s="10" t="s">
        <v>110</v>
      </c>
      <c r="C48" s="29" t="s">
        <v>139</v>
      </c>
      <c r="D48" s="14" t="s">
        <v>152</v>
      </c>
      <c r="E48" s="16">
        <v>1.0</v>
      </c>
      <c r="F48" s="18">
        <v>6500.0</v>
      </c>
      <c r="G48" s="18">
        <f t="shared" si="1"/>
        <v>8450</v>
      </c>
      <c r="H48" s="19">
        <f t="shared" si="2"/>
        <v>12337</v>
      </c>
      <c r="I48" s="19">
        <f t="shared" si="3"/>
        <v>22750</v>
      </c>
    </row>
    <row r="49" ht="22.5" customHeight="1">
      <c r="A49" s="9"/>
      <c r="B49" s="10" t="s">
        <v>102</v>
      </c>
      <c r="C49" s="29" t="s">
        <v>139</v>
      </c>
      <c r="D49" s="14" t="s">
        <v>153</v>
      </c>
      <c r="E49" s="16">
        <v>1.0</v>
      </c>
      <c r="F49" s="18">
        <v>5900.0</v>
      </c>
      <c r="G49" s="18">
        <f t="shared" si="1"/>
        <v>7670</v>
      </c>
      <c r="H49" s="19">
        <f t="shared" si="2"/>
        <v>11198.2</v>
      </c>
      <c r="I49" s="19">
        <f t="shared" si="3"/>
        <v>20650</v>
      </c>
    </row>
    <row r="50" ht="22.5" customHeight="1">
      <c r="A50" s="9"/>
      <c r="B50" s="10" t="s">
        <v>105</v>
      </c>
      <c r="C50" s="29" t="s">
        <v>139</v>
      </c>
      <c r="D50" s="14" t="s">
        <v>154</v>
      </c>
      <c r="E50" s="16">
        <v>1.0</v>
      </c>
      <c r="F50" s="18">
        <v>7600.0</v>
      </c>
      <c r="G50" s="18">
        <f t="shared" si="1"/>
        <v>9880</v>
      </c>
      <c r="H50" s="19">
        <f t="shared" si="2"/>
        <v>14424.8</v>
      </c>
      <c r="I50" s="19">
        <f t="shared" si="3"/>
        <v>26600</v>
      </c>
    </row>
    <row r="51" ht="22.5" customHeight="1">
      <c r="A51" s="9"/>
      <c r="B51" s="10" t="s">
        <v>107</v>
      </c>
      <c r="C51" s="29" t="s">
        <v>139</v>
      </c>
      <c r="D51" s="14" t="s">
        <v>155</v>
      </c>
      <c r="E51" s="16">
        <v>1.0</v>
      </c>
      <c r="F51" s="18">
        <v>8800.0</v>
      </c>
      <c r="G51" s="18">
        <f t="shared" si="1"/>
        <v>11440</v>
      </c>
      <c r="H51" s="19">
        <f t="shared" si="2"/>
        <v>16702.4</v>
      </c>
      <c r="I51" s="19">
        <f t="shared" si="3"/>
        <v>30800</v>
      </c>
    </row>
    <row r="52" ht="22.5" customHeight="1">
      <c r="A52" s="9"/>
      <c r="B52" s="10" t="s">
        <v>100</v>
      </c>
      <c r="C52" s="29" t="s">
        <v>156</v>
      </c>
      <c r="D52" s="10" t="s">
        <v>157</v>
      </c>
      <c r="E52" s="30">
        <v>1.0</v>
      </c>
      <c r="F52" s="31">
        <v>19500.0</v>
      </c>
      <c r="G52" s="31">
        <f t="shared" si="1"/>
        <v>25350</v>
      </c>
      <c r="H52" s="19">
        <f t="shared" si="2"/>
        <v>37011</v>
      </c>
      <c r="I52" s="19">
        <f t="shared" si="3"/>
        <v>68250</v>
      </c>
    </row>
    <row r="54">
      <c r="F54" s="33">
        <f>SUM(Tabla_1[Costo])</f>
        <v>873700</v>
      </c>
      <c r="G54" s="33">
        <f>SUM(Tabla_1[PRECIO mayorista])</f>
        <v>1135810</v>
      </c>
      <c r="H54" s="33">
        <f>SUM(Tabla_1[PRECIO minorista])</f>
        <v>1658282.6</v>
      </c>
    </row>
    <row r="56">
      <c r="G56" s="33">
        <f>G54-F54</f>
        <v>262110</v>
      </c>
      <c r="H56" s="33">
        <f>H54-F54</f>
        <v>784582.6</v>
      </c>
    </row>
    <row r="57">
      <c r="G57" s="33">
        <f>G54/6</f>
        <v>189301.6667</v>
      </c>
    </row>
  </sheetData>
  <dataValidations>
    <dataValidation type="custom" allowBlank="1" showDropDown="1" sqref="E2:F52">
      <formula1>AND(ISNUMBER(E2),(NOT(OR(NOT(ISERROR(DATEVALUE(E2))), AND(ISNUMBER(E2), LEFT(CELL("format", E2))="D")))))</formula1>
    </dataValidation>
    <dataValidation type="list" allowBlank="1" showDropDown="1" showErrorMessage="1" sqref="C2:C52">
      <formula1>"ANILLOS,AROS,DIJES"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0.38"/>
    <col customWidth="1" min="3" max="3" width="44.25"/>
    <col customWidth="1" min="4" max="4" width="9.38"/>
  </cols>
  <sheetData>
    <row r="2">
      <c r="B2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</row>
    <row r="5" ht="75.0" customHeight="1">
      <c r="A5" s="4"/>
      <c r="B5" s="1" t="s">
        <v>5</v>
      </c>
      <c r="C5" s="1" t="s">
        <v>6</v>
      </c>
      <c r="D5" s="6">
        <v>15600.0</v>
      </c>
    </row>
    <row r="6" ht="75.0" customHeight="1">
      <c r="A6" s="4"/>
      <c r="B6" s="1" t="s">
        <v>9</v>
      </c>
      <c r="C6" s="1" t="s">
        <v>10</v>
      </c>
      <c r="D6" s="6">
        <v>20020.0</v>
      </c>
    </row>
    <row r="7" ht="75.0" customHeight="1">
      <c r="A7" s="4"/>
      <c r="B7" s="1" t="s">
        <v>12</v>
      </c>
      <c r="C7" s="1" t="s">
        <v>13</v>
      </c>
      <c r="D7" s="6">
        <v>38870.0</v>
      </c>
    </row>
    <row r="8" ht="75.0" customHeight="1">
      <c r="A8" s="4"/>
      <c r="B8" s="1" t="s">
        <v>15</v>
      </c>
      <c r="C8" s="1" t="s">
        <v>16</v>
      </c>
      <c r="D8" s="6">
        <v>33150.0</v>
      </c>
    </row>
    <row r="9" ht="75.0" customHeight="1">
      <c r="A9" s="4"/>
      <c r="B9" s="1" t="s">
        <v>18</v>
      </c>
      <c r="C9" s="1" t="s">
        <v>19</v>
      </c>
      <c r="D9" s="6">
        <v>31200.0</v>
      </c>
    </row>
    <row r="10" ht="75.0" customHeight="1">
      <c r="A10" s="4"/>
      <c r="B10" s="1" t="s">
        <v>21</v>
      </c>
      <c r="C10" s="1" t="s">
        <v>22</v>
      </c>
      <c r="D10" s="6">
        <v>21450.0</v>
      </c>
    </row>
    <row r="11" ht="75.0" customHeight="1">
      <c r="A11" s="4"/>
      <c r="B11" s="1" t="s">
        <v>24</v>
      </c>
      <c r="C11" s="1" t="s">
        <v>25</v>
      </c>
      <c r="D11" s="6">
        <v>10790.0</v>
      </c>
    </row>
    <row r="12" ht="75.0" customHeight="1">
      <c r="A12" s="4"/>
      <c r="B12" s="1" t="s">
        <v>27</v>
      </c>
      <c r="C12" s="1" t="s">
        <v>29</v>
      </c>
      <c r="D12" s="6">
        <v>18200.0</v>
      </c>
    </row>
    <row r="13" ht="75.0" customHeight="1">
      <c r="A13" s="4"/>
      <c r="B13" s="1" t="s">
        <v>30</v>
      </c>
      <c r="C13" s="1" t="s">
        <v>31</v>
      </c>
      <c r="D13" s="6">
        <v>18850.0</v>
      </c>
    </row>
    <row r="14" ht="75.0" customHeight="1">
      <c r="A14" s="4"/>
      <c r="B14" s="1" t="s">
        <v>32</v>
      </c>
      <c r="C14" s="1" t="s">
        <v>33</v>
      </c>
      <c r="D14" s="6">
        <v>19370.0</v>
      </c>
    </row>
    <row r="15" ht="75.0" customHeight="1">
      <c r="A15" s="4"/>
      <c r="B15" s="1" t="s">
        <v>34</v>
      </c>
      <c r="C15" s="1" t="s">
        <v>35</v>
      </c>
      <c r="D15" s="6">
        <v>40690.0</v>
      </c>
    </row>
    <row r="16" ht="75.0" customHeight="1">
      <c r="A16" s="4"/>
      <c r="B16" s="1" t="s">
        <v>37</v>
      </c>
      <c r="C16" s="1" t="s">
        <v>39</v>
      </c>
      <c r="D16" s="6">
        <v>21190.0</v>
      </c>
    </row>
    <row r="17" ht="75.0" customHeight="1">
      <c r="A17" s="4"/>
      <c r="B17" s="1" t="s">
        <v>40</v>
      </c>
      <c r="C17" s="1" t="s">
        <v>41</v>
      </c>
      <c r="D17" s="6">
        <v>15860.0</v>
      </c>
    </row>
    <row r="18" ht="75.0" customHeight="1">
      <c r="A18" s="4"/>
      <c r="B18" s="1" t="s">
        <v>42</v>
      </c>
      <c r="C18" s="1" t="s">
        <v>43</v>
      </c>
      <c r="D18" s="6">
        <v>35230.0</v>
      </c>
    </row>
    <row r="19" ht="75.0" customHeight="1">
      <c r="A19" s="4"/>
      <c r="B19" s="1" t="s">
        <v>44</v>
      </c>
      <c r="C19" s="1" t="s">
        <v>45</v>
      </c>
      <c r="D19" s="6">
        <v>39000.0</v>
      </c>
    </row>
    <row r="20" ht="75.0" customHeight="1">
      <c r="A20" s="4"/>
      <c r="B20" s="1" t="s">
        <v>46</v>
      </c>
      <c r="C20" s="1" t="s">
        <v>47</v>
      </c>
      <c r="D20" s="6">
        <v>20670.0</v>
      </c>
    </row>
    <row r="21" ht="75.0" customHeight="1">
      <c r="A21" s="4"/>
      <c r="B21" s="1" t="s">
        <v>48</v>
      </c>
      <c r="C21" s="1" t="s">
        <v>49</v>
      </c>
      <c r="D21" s="6">
        <v>25350.0</v>
      </c>
    </row>
    <row r="22" ht="75.0" customHeight="1">
      <c r="A22" s="4"/>
      <c r="B22" s="1" t="s">
        <v>50</v>
      </c>
      <c r="C22" s="1" t="s">
        <v>51</v>
      </c>
      <c r="D22" s="6">
        <v>25870.0</v>
      </c>
    </row>
    <row r="23" ht="75.0" customHeight="1">
      <c r="A23" s="4"/>
      <c r="B23" s="1" t="s">
        <v>52</v>
      </c>
      <c r="C23" s="1" t="s">
        <v>53</v>
      </c>
      <c r="D23" s="6">
        <v>40820.0</v>
      </c>
    </row>
    <row r="24" ht="75.0" customHeight="1">
      <c r="A24" s="4"/>
      <c r="B24" s="1" t="s">
        <v>54</v>
      </c>
      <c r="C24" s="1" t="s">
        <v>55</v>
      </c>
      <c r="D24" s="6">
        <v>34450.0</v>
      </c>
    </row>
    <row r="25" ht="75.0" customHeight="1">
      <c r="A25" s="4"/>
      <c r="B25" s="1" t="s">
        <v>57</v>
      </c>
      <c r="C25" s="1" t="s">
        <v>58</v>
      </c>
      <c r="D25" s="6">
        <v>29510.0</v>
      </c>
    </row>
    <row r="26" ht="75.0" customHeight="1">
      <c r="A26" s="4"/>
      <c r="B26" s="1" t="s">
        <v>59</v>
      </c>
      <c r="C26" s="1" t="s">
        <v>61</v>
      </c>
      <c r="D26" s="6">
        <v>10790.0</v>
      </c>
    </row>
    <row r="27" ht="75.0" customHeight="1">
      <c r="A27" s="4"/>
      <c r="B27" s="1" t="s">
        <v>56</v>
      </c>
      <c r="C27" s="1" t="s">
        <v>10</v>
      </c>
      <c r="D27" s="6">
        <v>33800.0</v>
      </c>
    </row>
    <row r="28" ht="75.0" customHeight="1">
      <c r="A28" s="4"/>
      <c r="B28" s="1" t="s">
        <v>63</v>
      </c>
      <c r="C28" s="1" t="s">
        <v>64</v>
      </c>
      <c r="D28" s="6">
        <v>27300.0</v>
      </c>
    </row>
    <row r="29" ht="75.0" customHeight="1">
      <c r="A29" s="4"/>
      <c r="B29" s="1" t="s">
        <v>62</v>
      </c>
      <c r="C29" s="1" t="s">
        <v>66</v>
      </c>
      <c r="D29" s="6">
        <v>32110.0</v>
      </c>
    </row>
    <row r="30" ht="75.0" customHeight="1">
      <c r="A30" s="4"/>
      <c r="B30" s="1" t="s">
        <v>60</v>
      </c>
      <c r="C30" s="1" t="s">
        <v>67</v>
      </c>
      <c r="D30" s="6">
        <v>22230.0</v>
      </c>
    </row>
    <row r="31" ht="75.0" customHeight="1">
      <c r="A31" s="4"/>
      <c r="B31" s="1" t="s">
        <v>68</v>
      </c>
      <c r="C31" s="1" t="s">
        <v>69</v>
      </c>
      <c r="D31" s="6">
        <v>43420.0</v>
      </c>
    </row>
    <row r="32" ht="75.0" customHeight="1">
      <c r="A32" s="4"/>
      <c r="B32" s="1" t="s">
        <v>65</v>
      </c>
      <c r="C32" s="1" t="s">
        <v>71</v>
      </c>
      <c r="D32" s="6">
        <v>32110.0</v>
      </c>
    </row>
    <row r="33" ht="75.0" customHeight="1">
      <c r="A33" s="4"/>
      <c r="B33" s="1" t="s">
        <v>70</v>
      </c>
      <c r="C33" s="1" t="s">
        <v>72</v>
      </c>
      <c r="D33" s="6">
        <v>23920.0</v>
      </c>
    </row>
    <row r="34" ht="75.0" customHeight="1">
      <c r="A34" s="4"/>
      <c r="B34" s="1" t="s">
        <v>73</v>
      </c>
      <c r="C34" s="1" t="s">
        <v>74</v>
      </c>
      <c r="D34" s="6">
        <v>44200.0</v>
      </c>
    </row>
    <row r="35" ht="75.0" customHeight="1">
      <c r="A35" s="4"/>
      <c r="B35" s="1" t="s">
        <v>75</v>
      </c>
      <c r="C35" s="1" t="s">
        <v>76</v>
      </c>
      <c r="D35" s="6">
        <v>33800.0</v>
      </c>
    </row>
    <row r="36" ht="75.0" customHeight="1">
      <c r="A36" s="4"/>
      <c r="B36" s="1" t="s">
        <v>77</v>
      </c>
      <c r="C36" s="1" t="s">
        <v>78</v>
      </c>
      <c r="D36" s="6">
        <v>35490.0</v>
      </c>
    </row>
    <row r="37" ht="75.0" customHeight="1">
      <c r="A37" s="4"/>
      <c r="B37" s="1" t="s">
        <v>79</v>
      </c>
      <c r="C37" s="1" t="s">
        <v>80</v>
      </c>
      <c r="D37" s="6">
        <v>8970.0</v>
      </c>
    </row>
    <row r="38" ht="75.0" customHeight="1">
      <c r="A38" s="4"/>
      <c r="B38" s="1" t="s">
        <v>81</v>
      </c>
      <c r="C38" s="1" t="s">
        <v>82</v>
      </c>
      <c r="D38" s="6">
        <v>5720.0</v>
      </c>
    </row>
    <row r="39" ht="75.0" customHeight="1">
      <c r="A39" s="4"/>
      <c r="B39" s="1" t="s">
        <v>83</v>
      </c>
      <c r="C39" s="1" t="s">
        <v>84</v>
      </c>
      <c r="D39" s="6">
        <v>9750.0</v>
      </c>
    </row>
    <row r="40" ht="75.0" customHeight="1">
      <c r="A40" s="4"/>
      <c r="B40" s="1" t="s">
        <v>85</v>
      </c>
      <c r="C40" s="1" t="s">
        <v>86</v>
      </c>
      <c r="D40" s="6">
        <v>11960.0</v>
      </c>
    </row>
    <row r="41" ht="75.0" customHeight="1">
      <c r="A41" s="20"/>
      <c r="B41" s="22"/>
      <c r="C41" s="22"/>
      <c r="D41" s="24"/>
    </row>
    <row r="42" ht="75.0" customHeight="1">
      <c r="A42" s="20"/>
      <c r="B42" s="22"/>
      <c r="C42" s="22"/>
      <c r="D42" s="24"/>
    </row>
    <row r="43" ht="75.0" customHeight="1">
      <c r="A43" s="20"/>
      <c r="B43" s="22"/>
      <c r="C43" s="22"/>
      <c r="D43" s="24"/>
    </row>
    <row r="44" ht="75.0" customHeight="1">
      <c r="A44" s="20"/>
      <c r="B44" s="22"/>
      <c r="C44" s="22"/>
      <c r="D44" s="24"/>
    </row>
    <row r="45" ht="75.0" customHeight="1">
      <c r="A45" s="20"/>
      <c r="B45" s="22"/>
      <c r="C45" s="22"/>
      <c r="D45" s="24"/>
    </row>
    <row r="46" ht="75.0" customHeight="1">
      <c r="A46" s="20"/>
      <c r="B46" s="22"/>
      <c r="C46" s="22"/>
      <c r="D46" s="24"/>
    </row>
    <row r="47" ht="75.0" customHeight="1">
      <c r="A47" s="20"/>
      <c r="B47" s="22"/>
      <c r="C47" s="22"/>
      <c r="D47" s="24"/>
    </row>
    <row r="48" ht="75.0" customHeight="1">
      <c r="A48" s="20"/>
      <c r="B48" s="22"/>
      <c r="C48" s="22"/>
      <c r="D48" s="24"/>
    </row>
    <row r="49" ht="75.0" customHeight="1">
      <c r="A49" s="20"/>
      <c r="B49" s="22"/>
      <c r="C49" s="22"/>
      <c r="D49" s="24"/>
    </row>
    <row r="50" ht="75.0" customHeight="1">
      <c r="A50" s="20"/>
      <c r="B50" s="22"/>
      <c r="C50" s="22"/>
      <c r="D50" s="24"/>
    </row>
    <row r="51" ht="75.0" customHeight="1">
      <c r="A51" s="20"/>
      <c r="B51" s="22"/>
      <c r="C51" s="22"/>
      <c r="D51" s="24"/>
    </row>
    <row r="52" ht="75.0" customHeight="1">
      <c r="A52" s="20"/>
      <c r="B52" s="22"/>
      <c r="C52" s="22"/>
      <c r="D52" s="24"/>
    </row>
    <row r="53" ht="75.0" customHeight="1">
      <c r="A53" s="20"/>
      <c r="B53" s="22"/>
      <c r="C53" s="22"/>
      <c r="D53" s="24"/>
    </row>
    <row r="54" ht="75.0" customHeight="1">
      <c r="A54" s="20"/>
      <c r="B54" s="22"/>
      <c r="C54" s="22"/>
      <c r="D54" s="24"/>
    </row>
    <row r="55" ht="75.0" customHeight="1">
      <c r="A55" s="20"/>
      <c r="B55" s="22"/>
      <c r="C55" s="22"/>
      <c r="D55" s="24"/>
    </row>
    <row r="56" ht="75.0" customHeight="1">
      <c r="A56" s="20"/>
      <c r="B56" s="22"/>
      <c r="C56" s="22"/>
      <c r="D56" s="24"/>
    </row>
    <row r="57" ht="75.0" customHeight="1">
      <c r="A57" s="20"/>
      <c r="B57" s="22"/>
      <c r="C57" s="22"/>
      <c r="D57" s="24"/>
    </row>
    <row r="58" ht="75.0" customHeight="1">
      <c r="A58" s="20"/>
      <c r="B58" s="22"/>
      <c r="C58" s="22"/>
      <c r="D58" s="24"/>
    </row>
    <row r="59" ht="75.0" customHeight="1">
      <c r="A59" s="20"/>
      <c r="B59" s="22"/>
      <c r="C59" s="22"/>
      <c r="D59" s="24"/>
    </row>
    <row r="60" ht="75.0" customHeight="1">
      <c r="A60" s="20"/>
      <c r="B60" s="22"/>
      <c r="C60" s="22"/>
      <c r="D60" s="24"/>
    </row>
    <row r="61" ht="75.0" customHeight="1">
      <c r="A61" s="24"/>
      <c r="B61" s="27"/>
      <c r="C61" s="27"/>
      <c r="D61" s="24"/>
    </row>
    <row r="62" ht="75.0" customHeight="1">
      <c r="A62" s="24"/>
      <c r="B62" s="27"/>
      <c r="C62" s="27"/>
      <c r="D62" s="24"/>
    </row>
    <row r="63" ht="75.0" customHeight="1">
      <c r="A63" s="24"/>
      <c r="B63" s="27"/>
      <c r="C63" s="27"/>
      <c r="D63" s="24"/>
    </row>
    <row r="64" ht="75.0" customHeight="1">
      <c r="A64" s="24"/>
      <c r="B64" s="27"/>
      <c r="C64" s="27"/>
      <c r="D64" s="24"/>
    </row>
    <row r="65" ht="75.0" customHeight="1">
      <c r="A65" s="24"/>
      <c r="B65" s="27"/>
      <c r="C65" s="27"/>
      <c r="D65" s="24"/>
    </row>
    <row r="66" ht="75.0" customHeight="1">
      <c r="A66" s="24"/>
      <c r="B66" s="27"/>
      <c r="C66" s="27"/>
      <c r="D66" s="24"/>
    </row>
    <row r="67" ht="75.0" customHeight="1">
      <c r="A67" s="24"/>
      <c r="B67" s="27"/>
      <c r="C67" s="27"/>
      <c r="D67" s="24"/>
    </row>
    <row r="68" ht="75.0" customHeight="1">
      <c r="A68" s="24"/>
      <c r="B68" s="27"/>
      <c r="C68" s="27"/>
      <c r="D68" s="24"/>
    </row>
    <row r="69" ht="75.0" customHeight="1">
      <c r="A69" s="24"/>
      <c r="B69" s="27"/>
      <c r="C69" s="27"/>
      <c r="D69" s="24"/>
    </row>
    <row r="70" ht="75.0" customHeight="1">
      <c r="A70" s="24"/>
      <c r="B70" s="27"/>
      <c r="C70" s="27"/>
      <c r="D70" s="24"/>
    </row>
    <row r="71" ht="75.0" customHeight="1">
      <c r="A71" s="24"/>
      <c r="B71" s="27"/>
      <c r="C71" s="27"/>
      <c r="D71" s="24"/>
    </row>
    <row r="72" ht="75.0" customHeight="1">
      <c r="A72" s="24"/>
      <c r="B72" s="27"/>
      <c r="C72" s="27"/>
      <c r="D72" s="24"/>
    </row>
    <row r="73" ht="75.0" customHeight="1">
      <c r="A73" s="24"/>
      <c r="B73" s="27"/>
      <c r="C73" s="27"/>
      <c r="D73" s="24"/>
    </row>
    <row r="74" ht="75.0" customHeight="1">
      <c r="A74" s="24"/>
      <c r="B74" s="27"/>
      <c r="C74" s="27"/>
      <c r="D74" s="24"/>
    </row>
    <row r="75" ht="75.0" customHeight="1">
      <c r="A75" s="24"/>
      <c r="B75" s="27"/>
      <c r="C75" s="27"/>
      <c r="D75" s="24"/>
    </row>
    <row r="76" ht="75.0" customHeight="1">
      <c r="A76" s="24"/>
      <c r="B76" s="27"/>
      <c r="C76" s="27"/>
      <c r="D76" s="24"/>
    </row>
    <row r="77" ht="75.0" customHeight="1">
      <c r="A77" s="24"/>
      <c r="B77" s="27"/>
      <c r="C77" s="27"/>
      <c r="D77" s="24"/>
    </row>
    <row r="78" ht="75.0" customHeight="1">
      <c r="A78" s="24"/>
      <c r="B78" s="27"/>
      <c r="C78" s="27"/>
      <c r="D78" s="24"/>
    </row>
    <row r="79" ht="75.0" customHeight="1">
      <c r="A79" s="24"/>
      <c r="B79" s="27"/>
      <c r="C79" s="27"/>
      <c r="D79" s="27"/>
    </row>
    <row r="80" ht="75.0" customHeight="1">
      <c r="A80" s="24"/>
      <c r="B80" s="27"/>
      <c r="C80" s="27"/>
      <c r="D80" s="27"/>
    </row>
  </sheetData>
  <dataValidations>
    <dataValidation type="list" allowBlank="1" showErrorMessage="1" sqref="B2">
      <formula1>"Pulseras,Anillos,Aros,Cadenas,Dijes"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36</v>
      </c>
      <c r="B1" s="13" t="s">
        <v>4</v>
      </c>
    </row>
    <row r="2">
      <c r="A2" s="15" t="s">
        <v>5</v>
      </c>
      <c r="B2" s="17">
        <v>15600.0</v>
      </c>
    </row>
    <row r="3">
      <c r="A3" s="15" t="s">
        <v>9</v>
      </c>
      <c r="B3" s="17">
        <v>20100.0</v>
      </c>
    </row>
    <row r="4">
      <c r="A4" s="15" t="s">
        <v>56</v>
      </c>
      <c r="B4" s="17">
        <v>33800.0</v>
      </c>
    </row>
    <row r="5">
      <c r="A5" s="15" t="s">
        <v>60</v>
      </c>
      <c r="B5" s="17">
        <v>22300.0</v>
      </c>
    </row>
    <row r="6">
      <c r="A6" s="15" t="s">
        <v>62</v>
      </c>
      <c r="B6" s="17">
        <v>32200.0</v>
      </c>
    </row>
    <row r="7">
      <c r="A7" s="15" t="s">
        <v>65</v>
      </c>
      <c r="B7" s="17">
        <v>32200.0</v>
      </c>
    </row>
    <row r="8">
      <c r="A8" s="15" t="s">
        <v>48</v>
      </c>
      <c r="B8" s="17">
        <v>25400.0</v>
      </c>
    </row>
    <row r="9">
      <c r="A9" s="15" t="s">
        <v>70</v>
      </c>
      <c r="B9" s="17">
        <v>24000.0</v>
      </c>
    </row>
    <row r="10">
      <c r="A10" s="15" t="s">
        <v>54</v>
      </c>
      <c r="B10" s="17">
        <v>34500.0</v>
      </c>
    </row>
    <row r="11">
      <c r="A11" s="15" t="s">
        <v>63</v>
      </c>
      <c r="B11" s="17">
        <v>27300.0</v>
      </c>
    </row>
    <row r="12">
      <c r="A12" s="15" t="s">
        <v>59</v>
      </c>
      <c r="B12" s="17">
        <v>10800.0</v>
      </c>
    </row>
    <row r="13">
      <c r="A13" s="15" t="s">
        <v>24</v>
      </c>
      <c r="B13" s="17">
        <v>10800.0</v>
      </c>
    </row>
    <row r="14">
      <c r="A14" s="15" t="s">
        <v>12</v>
      </c>
      <c r="B14" s="17">
        <v>38800.0</v>
      </c>
    </row>
    <row r="15">
      <c r="A15" s="15" t="s">
        <v>73</v>
      </c>
      <c r="B15" s="17">
        <v>44200.0</v>
      </c>
    </row>
    <row r="16">
      <c r="A16" s="15" t="s">
        <v>15</v>
      </c>
      <c r="B16" s="17">
        <v>33200.0</v>
      </c>
    </row>
    <row r="17">
      <c r="A17" s="15" t="s">
        <v>77</v>
      </c>
      <c r="B17" s="17">
        <v>35500.0</v>
      </c>
    </row>
    <row r="18">
      <c r="A18" s="15" t="s">
        <v>40</v>
      </c>
      <c r="B18" s="17">
        <v>15900.0</v>
      </c>
    </row>
    <row r="19">
      <c r="A19" s="15" t="s">
        <v>34</v>
      </c>
      <c r="B19" s="17">
        <v>40700.0</v>
      </c>
    </row>
    <row r="20">
      <c r="A20" s="15" t="s">
        <v>37</v>
      </c>
      <c r="B20" s="17">
        <v>21200.0</v>
      </c>
    </row>
    <row r="21">
      <c r="A21" s="15" t="s">
        <v>21</v>
      </c>
      <c r="B21" s="17">
        <v>21500.0</v>
      </c>
    </row>
    <row r="22">
      <c r="A22" s="15" t="s">
        <v>50</v>
      </c>
      <c r="B22" s="17">
        <v>25900.0</v>
      </c>
    </row>
    <row r="23">
      <c r="A23" s="15" t="s">
        <v>57</v>
      </c>
      <c r="B23" s="17">
        <v>29600.0</v>
      </c>
    </row>
    <row r="24">
      <c r="A24" s="15" t="s">
        <v>44</v>
      </c>
      <c r="B24" s="17">
        <v>39000.0</v>
      </c>
    </row>
    <row r="25">
      <c r="A25" s="15" t="s">
        <v>68</v>
      </c>
      <c r="B25" s="17">
        <v>43500.0</v>
      </c>
    </row>
    <row r="26">
      <c r="A26" s="15" t="s">
        <v>27</v>
      </c>
      <c r="B26" s="17">
        <v>18200.0</v>
      </c>
    </row>
    <row r="27">
      <c r="A27" s="15" t="s">
        <v>46</v>
      </c>
      <c r="B27" s="17">
        <v>20700.0</v>
      </c>
    </row>
    <row r="28">
      <c r="A28" s="15" t="s">
        <v>75</v>
      </c>
      <c r="B28" s="17">
        <v>33800.0</v>
      </c>
    </row>
    <row r="29">
      <c r="A29" s="15" t="s">
        <v>52</v>
      </c>
      <c r="B29" s="17">
        <v>40900.0</v>
      </c>
    </row>
    <row r="30">
      <c r="A30" s="15" t="s">
        <v>18</v>
      </c>
      <c r="B30" s="17">
        <v>31200.0</v>
      </c>
    </row>
    <row r="31">
      <c r="A31" s="15" t="s">
        <v>42</v>
      </c>
      <c r="B31" s="17">
        <v>35300.0</v>
      </c>
    </row>
    <row r="32">
      <c r="A32" s="15" t="s">
        <v>88</v>
      </c>
      <c r="B32" s="17">
        <v>9000.0</v>
      </c>
    </row>
    <row r="33">
      <c r="A33" s="28" t="s">
        <v>89</v>
      </c>
      <c r="B33" s="17">
        <v>9000.0</v>
      </c>
    </row>
    <row r="34">
      <c r="A34" s="28" t="s">
        <v>90</v>
      </c>
      <c r="B34" s="17">
        <v>9000.0</v>
      </c>
    </row>
    <row r="35">
      <c r="A35" s="28" t="s">
        <v>91</v>
      </c>
      <c r="B35" s="17">
        <v>9000.0</v>
      </c>
    </row>
    <row r="36">
      <c r="A36" s="28" t="s">
        <v>92</v>
      </c>
      <c r="B36" s="17">
        <v>9000.0</v>
      </c>
    </row>
    <row r="37">
      <c r="A37" s="28" t="s">
        <v>93</v>
      </c>
      <c r="B37" s="17">
        <v>9000.0</v>
      </c>
    </row>
    <row r="38">
      <c r="A38" s="15" t="s">
        <v>30</v>
      </c>
      <c r="B38" s="17">
        <v>18900.0</v>
      </c>
    </row>
    <row r="39">
      <c r="A39" s="15" t="s">
        <v>32</v>
      </c>
      <c r="B39" s="17">
        <v>19400.0</v>
      </c>
    </row>
    <row r="40">
      <c r="A40" s="15" t="s">
        <v>94</v>
      </c>
      <c r="B40" s="17">
        <v>9800.0</v>
      </c>
    </row>
    <row r="41">
      <c r="A41" s="15" t="s">
        <v>95</v>
      </c>
      <c r="B41" s="17">
        <v>12000.0</v>
      </c>
    </row>
    <row r="42">
      <c r="A42" s="28" t="s">
        <v>96</v>
      </c>
      <c r="B42" s="17">
        <v>5800.0</v>
      </c>
    </row>
    <row r="43">
      <c r="A43" s="28" t="s">
        <v>97</v>
      </c>
      <c r="B43" s="17">
        <v>5800.0</v>
      </c>
    </row>
    <row r="44">
      <c r="A44" s="28" t="s">
        <v>98</v>
      </c>
      <c r="B44" s="17">
        <v>5800.0</v>
      </c>
    </row>
    <row r="45">
      <c r="A45" s="28" t="s">
        <v>99</v>
      </c>
      <c r="B45" s="17">
        <v>5800.0</v>
      </c>
    </row>
    <row r="46">
      <c r="A46" s="15" t="s">
        <v>100</v>
      </c>
      <c r="B46" s="17">
        <v>25400.0</v>
      </c>
    </row>
    <row r="47">
      <c r="A47" s="15" t="s">
        <v>101</v>
      </c>
      <c r="B47" s="17">
        <v>8100.0</v>
      </c>
    </row>
    <row r="48">
      <c r="A48" s="15" t="s">
        <v>102</v>
      </c>
      <c r="B48" s="17">
        <v>7700.0</v>
      </c>
    </row>
    <row r="49">
      <c r="A49" s="15" t="s">
        <v>103</v>
      </c>
      <c r="B49" s="17">
        <v>5900.0</v>
      </c>
    </row>
    <row r="50">
      <c r="A50" s="15" t="s">
        <v>104</v>
      </c>
      <c r="B50" s="17">
        <v>11300.0</v>
      </c>
    </row>
    <row r="51">
      <c r="A51" s="15" t="s">
        <v>105</v>
      </c>
      <c r="B51" s="17">
        <v>9900.0</v>
      </c>
    </row>
    <row r="52">
      <c r="A52" s="15" t="s">
        <v>106</v>
      </c>
      <c r="B52" s="17">
        <v>12000.0</v>
      </c>
    </row>
    <row r="53">
      <c r="A53" s="15" t="s">
        <v>107</v>
      </c>
      <c r="B53" s="17">
        <v>11500.0</v>
      </c>
    </row>
    <row r="54">
      <c r="A54" s="15" t="s">
        <v>108</v>
      </c>
      <c r="B54" s="17">
        <v>6400.0</v>
      </c>
    </row>
    <row r="55">
      <c r="A55" s="15" t="s">
        <v>109</v>
      </c>
      <c r="B55" s="17">
        <v>6400.0</v>
      </c>
    </row>
    <row r="56">
      <c r="A56" s="15" t="s">
        <v>110</v>
      </c>
      <c r="B56" s="17">
        <v>8500.0</v>
      </c>
    </row>
    <row r="57">
      <c r="A57" s="15" t="s">
        <v>111</v>
      </c>
      <c r="B57" s="17">
        <v>6400.0</v>
      </c>
    </row>
    <row r="58">
      <c r="A58" s="15" t="s">
        <v>112</v>
      </c>
      <c r="B58" s="17">
        <v>6400.0</v>
      </c>
    </row>
    <row r="59">
      <c r="A59" s="15" t="s">
        <v>113</v>
      </c>
      <c r="B59" s="17">
        <v>6400.0</v>
      </c>
    </row>
    <row r="60">
      <c r="A60" s="15" t="s">
        <v>114</v>
      </c>
      <c r="B60" s="17">
        <v>6400.0</v>
      </c>
    </row>
    <row r="61">
      <c r="A61" s="15" t="s">
        <v>115</v>
      </c>
      <c r="B61" s="17">
        <v>6400.0</v>
      </c>
    </row>
    <row r="62">
      <c r="A62" s="15" t="s">
        <v>116</v>
      </c>
      <c r="B62" s="17">
        <v>6400.0</v>
      </c>
    </row>
    <row r="63">
      <c r="A63" s="15" t="s">
        <v>117</v>
      </c>
      <c r="B63" s="17">
        <v>6400.0</v>
      </c>
    </row>
    <row r="64">
      <c r="A64" s="15" t="s">
        <v>118</v>
      </c>
      <c r="B64" s="17">
        <v>6400.0</v>
      </c>
    </row>
    <row r="65">
      <c r="A65" s="15" t="s">
        <v>119</v>
      </c>
      <c r="B65" s="17">
        <v>6400.0</v>
      </c>
    </row>
    <row r="66">
      <c r="A66" s="15" t="s">
        <v>120</v>
      </c>
      <c r="B66" s="17">
        <v>6400.0</v>
      </c>
    </row>
    <row r="67">
      <c r="A67" s="15" t="s">
        <v>121</v>
      </c>
      <c r="B67" s="17">
        <v>6400.0</v>
      </c>
    </row>
    <row r="68">
      <c r="A68" s="15" t="s">
        <v>122</v>
      </c>
      <c r="B68" s="17">
        <v>6400.0</v>
      </c>
    </row>
    <row r="69">
      <c r="A69" s="15" t="s">
        <v>123</v>
      </c>
      <c r="B69" s="17">
        <v>6400.0</v>
      </c>
    </row>
    <row r="70">
      <c r="A70" s="15" t="s">
        <v>124</v>
      </c>
      <c r="B70" s="17">
        <v>6400.0</v>
      </c>
    </row>
    <row r="71">
      <c r="A71" s="15" t="s">
        <v>125</v>
      </c>
      <c r="B71" s="17">
        <v>7700.0</v>
      </c>
    </row>
    <row r="72">
      <c r="A72" s="15" t="s">
        <v>126</v>
      </c>
      <c r="B72" s="17">
        <v>7700.0</v>
      </c>
    </row>
    <row r="73">
      <c r="A73" s="15" t="s">
        <v>127</v>
      </c>
      <c r="B73" s="17">
        <v>7700.0</v>
      </c>
    </row>
    <row r="74">
      <c r="A74" s="15" t="s">
        <v>128</v>
      </c>
      <c r="B74" s="17">
        <v>7700.0</v>
      </c>
    </row>
    <row r="75">
      <c r="A75" s="15" t="s">
        <v>129</v>
      </c>
      <c r="B75" s="17">
        <v>7700.0</v>
      </c>
    </row>
    <row r="76">
      <c r="A76" s="15" t="s">
        <v>130</v>
      </c>
      <c r="B76" s="17">
        <v>7700.0</v>
      </c>
    </row>
    <row r="77">
      <c r="A77" s="15" t="s">
        <v>131</v>
      </c>
      <c r="B77" s="17">
        <v>7700.0</v>
      </c>
    </row>
    <row r="78">
      <c r="A78" s="15" t="s">
        <v>132</v>
      </c>
      <c r="B78" s="17">
        <v>7700.0</v>
      </c>
    </row>
    <row r="79">
      <c r="A79" s="15" t="s">
        <v>133</v>
      </c>
      <c r="B79" s="17">
        <v>7700.0</v>
      </c>
    </row>
    <row r="80">
      <c r="A80" s="15" t="s">
        <v>134</v>
      </c>
      <c r="B80" s="17">
        <v>18200.0</v>
      </c>
    </row>
    <row r="81">
      <c r="A81" s="15" t="s">
        <v>135</v>
      </c>
      <c r="B81" s="17">
        <v>20600.0</v>
      </c>
    </row>
    <row r="82">
      <c r="A82" s="15" t="s">
        <v>136</v>
      </c>
      <c r="B82" s="17">
        <v>24700.0</v>
      </c>
    </row>
    <row r="83">
      <c r="A83" s="15" t="s">
        <v>137</v>
      </c>
      <c r="B83" s="17">
        <v>26700.0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