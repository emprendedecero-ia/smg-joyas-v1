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Productos" sheetId="1" r:id="rId5"/>
    <sheet state="hidden" name="Buscador" sheetId="2" r:id="rId6"/>
    <sheet state="visible" name="PRECIO_MAY" sheetId="3" r:id="rId7"/>
    <sheet state="visible" name="PRECIO_MIN" sheetId="4" r:id="rId8"/>
    <sheet state="visible" name="PRECIO_ML" sheetId="5" r:id="rId9"/>
  </sheets>
  <definedNames/>
  <calcPr/>
</workbook>
</file>

<file path=xl/sharedStrings.xml><?xml version="1.0" encoding="utf-8"?>
<sst xmlns="http://schemas.openxmlformats.org/spreadsheetml/2006/main" count="922" uniqueCount="268">
  <si>
    <t>COD</t>
  </si>
  <si>
    <t>Anillos</t>
  </si>
  <si>
    <t>PRECIO</t>
  </si>
  <si>
    <t>IMAGEN</t>
  </si>
  <si>
    <t>DESCRIPCIÓN</t>
  </si>
  <si>
    <t>PRODUCTO</t>
  </si>
  <si>
    <t>A0001</t>
  </si>
  <si>
    <t>AN1064</t>
  </si>
  <si>
    <t>ANILLO PYO FRUTILLA C/PIEDRAS</t>
  </si>
  <si>
    <t>AN1126</t>
  </si>
  <si>
    <t xml:space="preserve">ANILLO PYO FRUTILLA C/PIEDRAS </t>
  </si>
  <si>
    <t>AN1133H</t>
  </si>
  <si>
    <t>Cod interno</t>
  </si>
  <si>
    <t>ANILLO SELLO PYO HUECO C/PIEDRA 10x12mm</t>
  </si>
  <si>
    <t>AN1137</t>
  </si>
  <si>
    <t>CATEGORÍA</t>
  </si>
  <si>
    <t>ANILLO HUECO PYO 11X12mm CORONA DUBLE</t>
  </si>
  <si>
    <t>Descripción</t>
  </si>
  <si>
    <t>AN1153</t>
  </si>
  <si>
    <t>ANILLO P CRUZ SAN BENITO</t>
  </si>
  <si>
    <t>AN1164</t>
  </si>
  <si>
    <t>Stock</t>
  </si>
  <si>
    <t>ANILLO PYO HUECO C/CORONA TIPO ROLEX</t>
  </si>
  <si>
    <t>AN1165</t>
  </si>
  <si>
    <t>Costo</t>
  </si>
  <si>
    <t>ANILLO M/S/F PYO C/8 PIEDRAS</t>
  </si>
  <si>
    <t>AN1182</t>
  </si>
  <si>
    <t>PRECIO mayorista</t>
  </si>
  <si>
    <t>ANILLO SAN BENITO PYO TEXTURADO</t>
  </si>
  <si>
    <t>REDONDEO MAYORISTA</t>
  </si>
  <si>
    <t>AN1183</t>
  </si>
  <si>
    <t>ANILLO P TIPO VAN CLEFF</t>
  </si>
  <si>
    <t>PRECIO minorista</t>
  </si>
  <si>
    <t>AN1184</t>
  </si>
  <si>
    <t>ANILLO P CORAZON</t>
  </si>
  <si>
    <t>AN1197</t>
  </si>
  <si>
    <t>REDONDEO MINORISTA</t>
  </si>
  <si>
    <t>ANILLO P OM MEDITACION</t>
  </si>
  <si>
    <t>Anillo plata y oro FRUTILLA C/PIEDRAS chico</t>
  </si>
  <si>
    <t>PRECIO ML</t>
  </si>
  <si>
    <t>AN1203</t>
  </si>
  <si>
    <t>ANILLO P MALLA Y CORONA TIPO ROLEX C/9 PIEDRAS</t>
  </si>
  <si>
    <t>REDONDEO ML</t>
  </si>
  <si>
    <t>A0002</t>
  </si>
  <si>
    <t>AN1208</t>
  </si>
  <si>
    <t>MAYORISTA</t>
  </si>
  <si>
    <t>P C/12 PIEDRAS TIPO VAN CLEEFF O TREBOL</t>
  </si>
  <si>
    <t>MINORISTA</t>
  </si>
  <si>
    <t>AN1246</t>
  </si>
  <si>
    <t>ANILLO SAN BENITO P C7PIEDRAS</t>
  </si>
  <si>
    <t>AN1250</t>
  </si>
  <si>
    <t>ANILLO PYO ESTRIADO</t>
  </si>
  <si>
    <t>AN1253</t>
  </si>
  <si>
    <t>ANILLO SAN BENITO PYO CALADO</t>
  </si>
  <si>
    <t>AN1255</t>
  </si>
  <si>
    <t>ANILLO PYO C/5 PIEDRAS BAGUETTE</t>
  </si>
  <si>
    <t>ANILLOS</t>
  </si>
  <si>
    <t>Anillo plata y oro FRUTILLA C/PIEDRAS mediano</t>
  </si>
  <si>
    <t>AN1258</t>
  </si>
  <si>
    <t>ANILLO P CORONA Y ESPADAS AL COSTADO</t>
  </si>
  <si>
    <t>A0003</t>
  </si>
  <si>
    <t>AN129</t>
  </si>
  <si>
    <t xml:space="preserve">ANILLO SAN BENITO PYO OVAL </t>
  </si>
  <si>
    <t>AN17</t>
  </si>
  <si>
    <t>ANILLO PYO C/PIEDRA OVAL</t>
  </si>
  <si>
    <t>AN394</t>
  </si>
  <si>
    <t>ANILLO PYO TIPO INFINITO VARIOS U 88888</t>
  </si>
  <si>
    <t>Anillo plata y oro FRUTILLA C/PIEDRAS grande</t>
  </si>
  <si>
    <t>AN428</t>
  </si>
  <si>
    <t>ANILLO M/S/F PYO C/9 PIEDRAS</t>
  </si>
  <si>
    <t>A0004</t>
  </si>
  <si>
    <t>AN43</t>
  </si>
  <si>
    <t>AN430</t>
  </si>
  <si>
    <t>ANILLO PYO C/3 PIEDRAS</t>
  </si>
  <si>
    <t>AN522</t>
  </si>
  <si>
    <t>ANILLO SELLO PYO HUECO ESTRIADO C/PIEDRA 9x10mm</t>
  </si>
  <si>
    <t>AN613</t>
  </si>
  <si>
    <t>ANILLO PYO ROSETA OVAL C/11 PIEDRAS</t>
  </si>
  <si>
    <t xml:space="preserve">Anillo plata y oro ROSETA OVAL C/PIEDRAS </t>
  </si>
  <si>
    <t>AN678</t>
  </si>
  <si>
    <t>ANILLO PYO MEDALLA MILAGROSA</t>
  </si>
  <si>
    <t>AN711</t>
  </si>
  <si>
    <t>ANILLO SELLO PYO HUECO C/PIEDRA 9x10mm</t>
  </si>
  <si>
    <t>AN714</t>
  </si>
  <si>
    <t xml:space="preserve">ANILLO 4 GRIFAS PYO C/PIEDRA 9x11mm </t>
  </si>
  <si>
    <t>AN794E</t>
  </si>
  <si>
    <t>ANILLO SELLO PYO ENCAMISADO C/PIEDRA 10x12mm</t>
  </si>
  <si>
    <t>AN871</t>
  </si>
  <si>
    <t>ANILLO SAN BENITO PYO OCTOGONAL</t>
  </si>
  <si>
    <t>A0005</t>
  </si>
  <si>
    <t>AN893</t>
  </si>
  <si>
    <t>ANILLO ENCAMISADO PYO 12X12mm CORONA DUBLE</t>
  </si>
  <si>
    <t>AN999</t>
  </si>
  <si>
    <t>ANILLO P ECO VARIOS</t>
  </si>
  <si>
    <t>ANILLOS P IMP</t>
  </si>
  <si>
    <t>IMPORTADO</t>
  </si>
  <si>
    <t>SOLITARIO P C/PIEDRA</t>
  </si>
  <si>
    <t>ANILLO SOLITARIO P C/PIEDRA</t>
  </si>
  <si>
    <t>Anillo SELLO plata y oro HUECO ESTRIADO C/PIEDRA</t>
  </si>
  <si>
    <t>SOLITARIO PyO C/PIEDRA</t>
  </si>
  <si>
    <t>ANILLO SOLITARIO PYO C/PIEDRA</t>
  </si>
  <si>
    <t>A0006</t>
  </si>
  <si>
    <t>Anillo SELLO plata y oro HUECO C/PIEDRA</t>
  </si>
  <si>
    <t>A0007</t>
  </si>
  <si>
    <t>Anillo plata y oro C/PIEDRAS BAGUETTE</t>
  </si>
  <si>
    <t>A0008</t>
  </si>
  <si>
    <t>TOTAL ITEMS</t>
  </si>
  <si>
    <t>Anillo 4 GRIFAS plata y oro C/PIEDRA</t>
  </si>
  <si>
    <t>A0009</t>
  </si>
  <si>
    <t xml:space="preserve">Anillo plata y oro C/PIEDRA OVAL </t>
  </si>
  <si>
    <t>A0010</t>
  </si>
  <si>
    <t>Anillo plata y oro C/PIEDRAS</t>
  </si>
  <si>
    <t>A0011</t>
  </si>
  <si>
    <t>Anillo medio sin fin plata y oro C/PIEDRAS</t>
  </si>
  <si>
    <t>A0012</t>
  </si>
  <si>
    <t>A0013</t>
  </si>
  <si>
    <t>A0014</t>
  </si>
  <si>
    <t>Anillo SELLO plata y oro ENCAMISADO C/PIEDRA</t>
  </si>
  <si>
    <t>A0015</t>
  </si>
  <si>
    <t>Anillo HUECO plata y oro CORONA</t>
  </si>
  <si>
    <t>A0016</t>
  </si>
  <si>
    <t>Anillo ENCAMISADO plata y oro CORONA</t>
  </si>
  <si>
    <t>A0017</t>
  </si>
  <si>
    <t>Anillo plata C/PIEDRAS VAN CLEEF/TREBOL</t>
  </si>
  <si>
    <t>A0018</t>
  </si>
  <si>
    <t>Anillo plata OM MEDITACION</t>
  </si>
  <si>
    <t>A0019</t>
  </si>
  <si>
    <t>Anillo plata MALLA Y CORONA C/PIEDRAS</t>
  </si>
  <si>
    <t>A0020</t>
  </si>
  <si>
    <t>Anillo plata y oro HUECO C/CORONA</t>
  </si>
  <si>
    <t>A0021</t>
  </si>
  <si>
    <t>Anillo plata CORONA Y ESPADAS AL COSTADO</t>
  </si>
  <si>
    <t>A0022</t>
  </si>
  <si>
    <t>Anillo plata y oro INFINITO 5</t>
  </si>
  <si>
    <t>A0023</t>
  </si>
  <si>
    <t>Anillo plata y oro ESTRIADO</t>
  </si>
  <si>
    <t>A0024</t>
  </si>
  <si>
    <t>Anillo plata y oro MEDALLA MILAGROSA</t>
  </si>
  <si>
    <t>A0025</t>
  </si>
  <si>
    <t>Anillo SAN BENITO plata y oro TEXTURADO</t>
  </si>
  <si>
    <t>A0026</t>
  </si>
  <si>
    <t>Anillo SAN BENITO plata y oro CALADO</t>
  </si>
  <si>
    <t>A0027</t>
  </si>
  <si>
    <t>Anillo SAN BENITO plata y oro OCTOGONAL</t>
  </si>
  <si>
    <t>A0028</t>
  </si>
  <si>
    <t>Anillo SAN BENITO plata y oro OVAL</t>
  </si>
  <si>
    <t>A0029</t>
  </si>
  <si>
    <t>Anillo plata CRUZ SAN BENITO</t>
  </si>
  <si>
    <t>A0030</t>
  </si>
  <si>
    <t>Anillo SAN BENITO plata C/PIEDRAS</t>
  </si>
  <si>
    <t>A0031</t>
  </si>
  <si>
    <t>Anillo plata abierto CORAZONES</t>
  </si>
  <si>
    <t>A0032</t>
  </si>
  <si>
    <t>Anillo plata MOÑO</t>
  </si>
  <si>
    <t>A0033</t>
  </si>
  <si>
    <t>Anillo plata ESTRELLA</t>
  </si>
  <si>
    <t>A0034</t>
  </si>
  <si>
    <t>Anillo plata abierto LUNA Y PLANETA</t>
  </si>
  <si>
    <t>A0035</t>
  </si>
  <si>
    <t>Anillo plata abierto ROSAS</t>
  </si>
  <si>
    <t>A0036</t>
  </si>
  <si>
    <t>Anillo plata CRUZ</t>
  </si>
  <si>
    <t>A0037</t>
  </si>
  <si>
    <t>Anillo plata VAN CLEFF/TREBOL</t>
  </si>
  <si>
    <t>A0038</t>
  </si>
  <si>
    <t>Anillo plata CORAZON</t>
  </si>
  <si>
    <t>A0039</t>
  </si>
  <si>
    <t>Anillo SOLITARIO plata C/PIEDRA</t>
  </si>
  <si>
    <t>A0040</t>
  </si>
  <si>
    <t>Anillo SOLITARIO plata y oro C/PIEDRA</t>
  </si>
  <si>
    <t>A0041</t>
  </si>
  <si>
    <t>Anillo plata importado GOTA</t>
  </si>
  <si>
    <t>A0042</t>
  </si>
  <si>
    <t>Anillo plata importado CORAZON</t>
  </si>
  <si>
    <t>A0043</t>
  </si>
  <si>
    <t>Anillo plata importado LUNA</t>
  </si>
  <si>
    <t>A0044</t>
  </si>
  <si>
    <t>Anillo plata importado CRUZ</t>
  </si>
  <si>
    <t>DI01</t>
  </si>
  <si>
    <t>DIJE SAN BENITO plata C/PIEDRAS</t>
  </si>
  <si>
    <t>AR01</t>
  </si>
  <si>
    <t>AROS CORAZON C/ABRAZO plata</t>
  </si>
  <si>
    <t>AR35</t>
  </si>
  <si>
    <t>AROS PIEDRA BAGUETE</t>
  </si>
  <si>
    <t>AR02</t>
  </si>
  <si>
    <t>AROS CORAZON plata</t>
  </si>
  <si>
    <t>AR32</t>
  </si>
  <si>
    <t>AROS medio sin fin plata BANDERA ARGENTINA</t>
  </si>
  <si>
    <t>AR36</t>
  </si>
  <si>
    <t>AROS TULIPAN ALARGADO plata</t>
  </si>
  <si>
    <t>AR33</t>
  </si>
  <si>
    <t>AROS medio sin fin plata y oro</t>
  </si>
  <si>
    <t>AR37</t>
  </si>
  <si>
    <t>AROS VAN CLEEF plata</t>
  </si>
  <si>
    <t>AR03</t>
  </si>
  <si>
    <t>AROS FORMAS plata GOTA LARGA</t>
  </si>
  <si>
    <t>AR04</t>
  </si>
  <si>
    <t>AROS FORMAS plata GOTA CORTA</t>
  </si>
  <si>
    <t>AR34</t>
  </si>
  <si>
    <t>AROS NUDO DE BRUJA plata</t>
  </si>
  <si>
    <t>AR05</t>
  </si>
  <si>
    <t>AROS plata CORONA REINA</t>
  </si>
  <si>
    <t>AR06</t>
  </si>
  <si>
    <t>AROS plata HERRADURA</t>
  </si>
  <si>
    <t>AR07</t>
  </si>
  <si>
    <t>AROS plata MANO DE FATIMA</t>
  </si>
  <si>
    <t>AR08</t>
  </si>
  <si>
    <t>AROS plata CORONA</t>
  </si>
  <si>
    <t>AR09</t>
  </si>
  <si>
    <t>AROS plata CORONA REY</t>
  </si>
  <si>
    <t>AR10</t>
  </si>
  <si>
    <t>AROS plata OJO HORUS</t>
  </si>
  <si>
    <t>AR11</t>
  </si>
  <si>
    <t>AROS plata OJOS</t>
  </si>
  <si>
    <t>AR12</t>
  </si>
  <si>
    <t>AROS plata OM MEDITACION</t>
  </si>
  <si>
    <t>AR13</t>
  </si>
  <si>
    <t>AROS plata CUADRADO</t>
  </si>
  <si>
    <t>AR14</t>
  </si>
  <si>
    <t>AROS plata TRIANGULO</t>
  </si>
  <si>
    <t>AR15</t>
  </si>
  <si>
    <t>AROS plata MICKEY</t>
  </si>
  <si>
    <t>AR16</t>
  </si>
  <si>
    <t>AROS plata CORAZON HUECO REDONDO</t>
  </si>
  <si>
    <t>AR17</t>
  </si>
  <si>
    <t>AROS plata DELFIN</t>
  </si>
  <si>
    <t>AR18</t>
  </si>
  <si>
    <t>AROS plata ALAS</t>
  </si>
  <si>
    <t>AR19</t>
  </si>
  <si>
    <t>AROS plata y oro ALAS CORTAS</t>
  </si>
  <si>
    <t>AR20</t>
  </si>
  <si>
    <t>AROS plata y oro ALAS LARGAS</t>
  </si>
  <si>
    <t>AR21</t>
  </si>
  <si>
    <t>AROS plata y oro PUNTO</t>
  </si>
  <si>
    <t>AR22</t>
  </si>
  <si>
    <t>AROS plata y oro ESTRELLA DE MAR CORTA</t>
  </si>
  <si>
    <t>AR23</t>
  </si>
  <si>
    <t>AROS plata y oro ESTRELLA DE MAR LARGA</t>
  </si>
  <si>
    <t>AR24</t>
  </si>
  <si>
    <t>AROS plata y oro CABALLITO DE MAR</t>
  </si>
  <si>
    <t>AR25</t>
  </si>
  <si>
    <t>AROS plata y oro ANCLA</t>
  </si>
  <si>
    <t>AR26</t>
  </si>
  <si>
    <t>AROS plata y oro CACTUS</t>
  </si>
  <si>
    <t>AR27</t>
  </si>
  <si>
    <t>AROS plata y oro CORONITA</t>
  </si>
  <si>
    <t>AR41 - 8MM</t>
  </si>
  <si>
    <t xml:space="preserve">AROS LADY DI plata 8mm C/PIEDRAS </t>
  </si>
  <si>
    <t>AR38 - 8MM</t>
  </si>
  <si>
    <t>AROS LADY DI plata y oro 8mm C/PIEDRAS</t>
  </si>
  <si>
    <t>AR39 - 10MM</t>
  </si>
  <si>
    <t xml:space="preserve">AROS LADY DI plata y oro 10mm C/PIEDRAS </t>
  </si>
  <si>
    <t>AR40 - 12MM</t>
  </si>
  <si>
    <t xml:space="preserve">AROS LADY DI plata y oro 12mm C/PIEDRAS </t>
  </si>
  <si>
    <t>AN999CC</t>
  </si>
  <si>
    <t>AN999M</t>
  </si>
  <si>
    <t>AN999E</t>
  </si>
  <si>
    <t>AN999P</t>
  </si>
  <si>
    <t>AN999R</t>
  </si>
  <si>
    <t>AN999C</t>
  </si>
  <si>
    <t>ANI01</t>
  </si>
  <si>
    <t>ANI02</t>
  </si>
  <si>
    <t>IMP01</t>
  </si>
  <si>
    <t>IMP02</t>
  </si>
  <si>
    <t>IMP03</t>
  </si>
  <si>
    <t>IMP04</t>
  </si>
  <si>
    <t>DIJES</t>
  </si>
  <si>
    <t>AROS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</si>
</sst>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.00"/>
    <numFmt numFmtId="165" formatCode="$#,##0.00"/>
  </numFmts>
  <fonts count="6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b/>
      <color rgb="FFFFFFFF"/>
      <name val="Roboto"/>
    </font>
    <font>
      <b/>
      <color theme="1"/>
      <name val="Roboto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vertical="center"/>
    </xf>
    <xf borderId="0" fillId="2" fontId="3" numFmtId="0" xfId="0" applyAlignment="1" applyFill="1" applyFont="1">
      <alignment horizontal="center"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3" fontId="1" numFmtId="164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4" fontId="1" numFmtId="164" xfId="0" applyAlignment="1" applyFill="1" applyFont="1" applyNumberForma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5" fontId="1" numFmtId="164" xfId="0" applyAlignment="1" applyFill="1" applyFont="1" applyNumberFormat="1">
      <alignment readingOrder="0" shrinkToFit="0" vertical="center" wrapText="0"/>
    </xf>
    <xf borderId="0" fillId="0" fontId="5" numFmtId="9" xfId="0" applyAlignment="1" applyFont="1" applyNumberFormat="1">
      <alignment readingOrder="0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2" pivot="0" name="PRECIO_MAY-style">
      <tableStyleElement dxfId="1" type="firstRowStripe"/>
      <tableStyleElement dxfId="2" type="secondRowStripe"/>
    </tableStyle>
    <tableStyle count="2" pivot="0" name="PRECIO_MIN-style">
      <tableStyleElement dxfId="1" type="firstRowStripe"/>
      <tableStyleElement dxfId="2" type="secondRowStripe"/>
    </tableStyle>
    <tableStyle count="4" pivot="0" name="BD_Productos-style">
      <tableStyleElement dxfId="3" type="headerRow"/>
      <tableStyleElement dxfId="1" type="firstRowStripe"/>
      <tableStyleElement dxfId="2" type="secondRowStripe"/>
      <tableStyleElement dxfId="4" size="0" type="wholeTable"/>
    </tableStyle>
    <tableStyle count="2" pivot="0" name="PRECIO_M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19050</xdr:rowOff>
    </xdr:from>
    <xdr:ext cx="1428750" cy="514350"/>
    <xdr:sp>
      <xdr:nvSpPr>
        <xdr:cNvPr id="3" name="Shape 3"/>
        <xdr:cNvSpPr/>
      </xdr:nvSpPr>
      <xdr:spPr>
        <a:xfrm>
          <a:off x="1339425" y="160900"/>
          <a:ext cx="1410900" cy="49740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BUSCAR</a:t>
          </a:r>
          <a:endParaRPr b="1" sz="14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</a:rPr>
            <a:t>PRODUCTOS</a:t>
          </a:r>
          <a:endParaRPr b="1"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0</xdr:rowOff>
    </xdr:from>
    <xdr:ext cx="1800225" cy="952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1685925" cy="9525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3" displayName="Tabla_1" name="Tabla_1" id="3">
  <tableColumns count="13">
    <tableColumn name="IMAGEN" id="1"/>
    <tableColumn name="PRODUCTO" id="2"/>
    <tableColumn name="Cod interno" id="3"/>
    <tableColumn name="CATEGORÍA" id="4"/>
    <tableColumn name="Descripción" id="5"/>
    <tableColumn name="Stock" id="6"/>
    <tableColumn name="Costo" id="7"/>
    <tableColumn name="PRECIO mayorista" id="8"/>
    <tableColumn name="REDONDEO MAYORISTA" id="9"/>
    <tableColumn name="PRECIO minorista" id="10"/>
    <tableColumn name="REDONDEO MINORISTA" id="11"/>
    <tableColumn name="PRECIO ML" id="12"/>
    <tableColumn name="REDONDEO ML" id="13"/>
  </tableColumns>
  <tableStyleInfo name="BD_Productos-style" showColumnStripes="0" showFirstColumn="1" showLastColumn="1" showRowStripes="1"/>
</table>
</file>

<file path=xl/tables/table2.xml><?xml version="1.0" encoding="utf-8"?>
<table xmlns="http://schemas.openxmlformats.org/spreadsheetml/2006/main" headerRowCount="0" ref="A2:C83" displayName="Table_1" name="Table_1" id="1">
  <tableColumns count="3">
    <tableColumn name="Column1" id="1"/>
    <tableColumn name="Column2" id="2"/>
    <tableColumn name="Column3" id="3"/>
  </tableColumns>
  <tableStyleInfo name="PRECIO_MAY-style" showColumnStripes="0" showFirstColumn="1" showLastColumn="1" showRowStripes="1"/>
</table>
</file>

<file path=xl/tables/table3.xml><?xml version="1.0" encoding="utf-8"?>
<table xmlns="http://schemas.openxmlformats.org/spreadsheetml/2006/main" headerRowCount="0" ref="A2:D8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PRECIO_MIN-style" showColumnStripes="0" showFirstColumn="1" showLastColumn="1" showRowStripes="1"/>
</table>
</file>

<file path=xl/tables/table4.xml><?xml version="1.0" encoding="utf-8"?>
<table xmlns="http://schemas.openxmlformats.org/spreadsheetml/2006/main" headerRowCount="0" ref="A2:C83" displayName="Table_3" name="Table_3" id="4">
  <tableColumns count="3">
    <tableColumn name="Column1" id="1"/>
    <tableColumn name="Column2" id="2"/>
    <tableColumn name="Column3" id="3"/>
  </tableColumns>
  <tableStyleInfo name="PRECIO_M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38"/>
    <col customWidth="1" min="2" max="2" width="14.25"/>
    <col customWidth="1" min="3" max="3" width="17.88"/>
    <col customWidth="1" min="4" max="4" width="17.0"/>
    <col customWidth="1" min="5" max="5" width="40.75"/>
    <col customWidth="1" min="6" max="6" width="13.13"/>
    <col customWidth="1" min="7" max="7" width="20.75"/>
    <col customWidth="1" min="8" max="8" width="14.13"/>
    <col customWidth="1" min="9" max="9" width="18.63"/>
    <col customWidth="1" min="10" max="10" width="14.88"/>
    <col customWidth="1" min="11" max="11" width="16.88"/>
  </cols>
  <sheetData>
    <row r="1" ht="22.5" customHeight="1">
      <c r="A1" s="8" t="s">
        <v>3</v>
      </c>
      <c r="B1" s="9" t="s">
        <v>5</v>
      </c>
      <c r="C1" s="9" t="s">
        <v>12</v>
      </c>
      <c r="D1" s="8" t="s">
        <v>15</v>
      </c>
      <c r="E1" s="10" t="s">
        <v>17</v>
      </c>
      <c r="F1" s="8" t="s">
        <v>21</v>
      </c>
      <c r="G1" s="8" t="s">
        <v>24</v>
      </c>
      <c r="H1" s="8" t="s">
        <v>27</v>
      </c>
      <c r="I1" s="11" t="s">
        <v>29</v>
      </c>
      <c r="J1" s="12" t="s">
        <v>32</v>
      </c>
      <c r="K1" s="11" t="s">
        <v>36</v>
      </c>
      <c r="L1" s="12" t="s">
        <v>39</v>
      </c>
      <c r="M1" s="12" t="s">
        <v>42</v>
      </c>
      <c r="N1" s="2" t="s">
        <v>45</v>
      </c>
      <c r="O1" s="2" t="s">
        <v>47</v>
      </c>
    </row>
    <row r="2" ht="24.75" customHeight="1">
      <c r="A2" s="16"/>
      <c r="B2" s="17" t="s">
        <v>6</v>
      </c>
      <c r="C2" s="17" t="s">
        <v>7</v>
      </c>
      <c r="D2" s="18" t="s">
        <v>56</v>
      </c>
      <c r="E2" s="19" t="s">
        <v>38</v>
      </c>
      <c r="F2" s="20">
        <v>1.0</v>
      </c>
      <c r="G2" s="21">
        <v>12000.0</v>
      </c>
      <c r="H2" s="21">
        <f t="shared" ref="H2:H83" si="1">G2*(1+$N$2)</f>
        <v>15600</v>
      </c>
      <c r="I2" s="22">
        <f t="shared" ref="I2:I83" si="2">MROUND(H2,100)</f>
        <v>15600</v>
      </c>
      <c r="J2" s="24">
        <f t="shared" ref="J2:J83" si="3">H2*(1+$O$2)</f>
        <v>22776</v>
      </c>
      <c r="K2" s="27">
        <f t="shared" ref="K2:K83" si="4">MROUND(J2,100)</f>
        <v>22800</v>
      </c>
      <c r="L2" s="24">
        <f t="shared" ref="L2:L83" si="5">G2*3.5</f>
        <v>42000</v>
      </c>
      <c r="M2" s="29">
        <f t="shared" ref="M2:M83" si="6">MROUND(L2,100)</f>
        <v>42000</v>
      </c>
      <c r="N2" s="30">
        <v>0.3</v>
      </c>
      <c r="O2" s="30">
        <v>0.46</v>
      </c>
      <c r="P2" s="31" t="s">
        <v>106</v>
      </c>
      <c r="Q2" s="32">
        <v>84.0</v>
      </c>
    </row>
    <row r="3" ht="23.25" customHeight="1">
      <c r="A3" s="16"/>
      <c r="B3" s="17" t="s">
        <v>43</v>
      </c>
      <c r="C3" s="17" t="s">
        <v>9</v>
      </c>
      <c r="D3" s="18" t="s">
        <v>56</v>
      </c>
      <c r="E3" s="19" t="s">
        <v>57</v>
      </c>
      <c r="F3" s="20">
        <v>1.0</v>
      </c>
      <c r="G3" s="21">
        <v>15400.0</v>
      </c>
      <c r="H3" s="21">
        <f t="shared" si="1"/>
        <v>20020</v>
      </c>
      <c r="I3" s="22">
        <f t="shared" si="2"/>
        <v>20000</v>
      </c>
      <c r="J3" s="24">
        <f t="shared" si="3"/>
        <v>29229.2</v>
      </c>
      <c r="K3" s="27">
        <f t="shared" si="4"/>
        <v>29200</v>
      </c>
      <c r="L3" s="24">
        <f t="shared" si="5"/>
        <v>53900</v>
      </c>
      <c r="M3" s="29">
        <f t="shared" si="6"/>
        <v>53900</v>
      </c>
    </row>
    <row r="4" ht="27.75" customHeight="1">
      <c r="A4" s="16"/>
      <c r="B4" s="17" t="s">
        <v>60</v>
      </c>
      <c r="C4" s="17" t="s">
        <v>71</v>
      </c>
      <c r="D4" s="18" t="s">
        <v>56</v>
      </c>
      <c r="E4" s="19" t="s">
        <v>67</v>
      </c>
      <c r="F4" s="20">
        <v>1.0</v>
      </c>
      <c r="G4" s="21">
        <v>26000.0</v>
      </c>
      <c r="H4" s="21">
        <f t="shared" si="1"/>
        <v>33800</v>
      </c>
      <c r="I4" s="22">
        <f t="shared" si="2"/>
        <v>33800</v>
      </c>
      <c r="J4" s="24">
        <f t="shared" si="3"/>
        <v>49348</v>
      </c>
      <c r="K4" s="27">
        <f t="shared" si="4"/>
        <v>49300</v>
      </c>
      <c r="L4" s="24">
        <f t="shared" si="5"/>
        <v>91000</v>
      </c>
      <c r="M4" s="29">
        <f t="shared" si="6"/>
        <v>91000</v>
      </c>
    </row>
    <row r="5" ht="26.25" customHeight="1">
      <c r="A5" s="16"/>
      <c r="B5" s="17" t="s">
        <v>70</v>
      </c>
      <c r="C5" s="17" t="s">
        <v>76</v>
      </c>
      <c r="D5" s="18" t="s">
        <v>56</v>
      </c>
      <c r="E5" s="19" t="s">
        <v>78</v>
      </c>
      <c r="F5" s="20">
        <v>1.0</v>
      </c>
      <c r="G5" s="21">
        <v>17100.0</v>
      </c>
      <c r="H5" s="21">
        <f t="shared" si="1"/>
        <v>22230</v>
      </c>
      <c r="I5" s="22">
        <f t="shared" si="2"/>
        <v>22200</v>
      </c>
      <c r="J5" s="24">
        <f t="shared" si="3"/>
        <v>32455.8</v>
      </c>
      <c r="K5" s="27">
        <f t="shared" si="4"/>
        <v>32500</v>
      </c>
      <c r="L5" s="24">
        <f t="shared" si="5"/>
        <v>59850</v>
      </c>
      <c r="M5" s="29">
        <f t="shared" si="6"/>
        <v>59900</v>
      </c>
    </row>
    <row r="6" ht="20.25" customHeight="1">
      <c r="A6" s="16"/>
      <c r="B6" s="17" t="s">
        <v>89</v>
      </c>
      <c r="C6" s="17" t="s">
        <v>74</v>
      </c>
      <c r="D6" s="18" t="s">
        <v>56</v>
      </c>
      <c r="E6" s="19" t="s">
        <v>98</v>
      </c>
      <c r="F6" s="20">
        <v>1.0</v>
      </c>
      <c r="G6" s="21">
        <v>24700.0</v>
      </c>
      <c r="H6" s="21">
        <f t="shared" si="1"/>
        <v>32110</v>
      </c>
      <c r="I6" s="22">
        <f t="shared" si="2"/>
        <v>32100</v>
      </c>
      <c r="J6" s="24">
        <f t="shared" si="3"/>
        <v>46880.6</v>
      </c>
      <c r="K6" s="27">
        <f t="shared" si="4"/>
        <v>46900</v>
      </c>
      <c r="L6" s="24">
        <f t="shared" si="5"/>
        <v>86450</v>
      </c>
      <c r="M6" s="29">
        <f t="shared" si="6"/>
        <v>86500</v>
      </c>
    </row>
    <row r="7" ht="26.25" customHeight="1">
      <c r="A7" s="16"/>
      <c r="B7" s="17" t="s">
        <v>101</v>
      </c>
      <c r="C7" s="17" t="s">
        <v>81</v>
      </c>
      <c r="D7" s="18" t="s">
        <v>56</v>
      </c>
      <c r="E7" s="19" t="s">
        <v>102</v>
      </c>
      <c r="F7" s="20">
        <v>1.0</v>
      </c>
      <c r="G7" s="21">
        <v>24700.0</v>
      </c>
      <c r="H7" s="21">
        <f t="shared" si="1"/>
        <v>32110</v>
      </c>
      <c r="I7" s="22">
        <f t="shared" si="2"/>
        <v>32100</v>
      </c>
      <c r="J7" s="24">
        <f t="shared" si="3"/>
        <v>46880.6</v>
      </c>
      <c r="K7" s="27">
        <f t="shared" si="4"/>
        <v>46900</v>
      </c>
      <c r="L7" s="24">
        <f t="shared" si="5"/>
        <v>86450</v>
      </c>
      <c r="M7" s="29">
        <f t="shared" si="6"/>
        <v>86500</v>
      </c>
    </row>
    <row r="8" ht="22.5" customHeight="1">
      <c r="A8" s="16"/>
      <c r="B8" s="17" t="s">
        <v>103</v>
      </c>
      <c r="C8" s="17" t="s">
        <v>54</v>
      </c>
      <c r="D8" s="34" t="s">
        <v>56</v>
      </c>
      <c r="E8" s="17" t="s">
        <v>104</v>
      </c>
      <c r="F8" s="35">
        <v>1.0</v>
      </c>
      <c r="G8" s="36">
        <v>19500.0</v>
      </c>
      <c r="H8" s="36">
        <f t="shared" si="1"/>
        <v>25350</v>
      </c>
      <c r="I8" s="22">
        <f t="shared" si="2"/>
        <v>25400</v>
      </c>
      <c r="J8" s="24">
        <f t="shared" si="3"/>
        <v>37011</v>
      </c>
      <c r="K8" s="27">
        <f t="shared" si="4"/>
        <v>37000</v>
      </c>
      <c r="L8" s="24">
        <f t="shared" si="5"/>
        <v>68250</v>
      </c>
      <c r="M8" s="29">
        <f t="shared" si="6"/>
        <v>68300</v>
      </c>
    </row>
    <row r="9" ht="22.5" customHeight="1">
      <c r="A9" s="16"/>
      <c r="B9" s="17" t="s">
        <v>105</v>
      </c>
      <c r="C9" s="17" t="s">
        <v>83</v>
      </c>
      <c r="D9" s="34" t="s">
        <v>56</v>
      </c>
      <c r="E9" s="17" t="s">
        <v>107</v>
      </c>
      <c r="F9" s="35">
        <v>1.0</v>
      </c>
      <c r="G9" s="36">
        <v>18400.0</v>
      </c>
      <c r="H9" s="36">
        <f t="shared" si="1"/>
        <v>23920</v>
      </c>
      <c r="I9" s="22">
        <f t="shared" si="2"/>
        <v>23900</v>
      </c>
      <c r="J9" s="24">
        <f t="shared" si="3"/>
        <v>34923.2</v>
      </c>
      <c r="K9" s="27">
        <f t="shared" si="4"/>
        <v>34900</v>
      </c>
      <c r="L9" s="24">
        <f t="shared" si="5"/>
        <v>64400</v>
      </c>
      <c r="M9" s="29">
        <f t="shared" si="6"/>
        <v>64400</v>
      </c>
    </row>
    <row r="10" ht="22.5" customHeight="1">
      <c r="A10" s="16"/>
      <c r="B10" s="17" t="s">
        <v>108</v>
      </c>
      <c r="C10" s="17" t="s">
        <v>63</v>
      </c>
      <c r="D10" s="34" t="s">
        <v>56</v>
      </c>
      <c r="E10" s="17" t="s">
        <v>109</v>
      </c>
      <c r="F10" s="35">
        <v>1.0</v>
      </c>
      <c r="G10" s="36">
        <v>26500.0</v>
      </c>
      <c r="H10" s="36">
        <f t="shared" si="1"/>
        <v>34450</v>
      </c>
      <c r="I10" s="22">
        <f t="shared" si="2"/>
        <v>34500</v>
      </c>
      <c r="J10" s="24">
        <f t="shared" si="3"/>
        <v>50297</v>
      </c>
      <c r="K10" s="27">
        <f t="shared" si="4"/>
        <v>50300</v>
      </c>
      <c r="L10" s="24">
        <f t="shared" si="5"/>
        <v>92750</v>
      </c>
      <c r="M10" s="29">
        <f t="shared" si="6"/>
        <v>92800</v>
      </c>
    </row>
    <row r="11" ht="22.5" customHeight="1">
      <c r="A11" s="16"/>
      <c r="B11" s="17" t="s">
        <v>110</v>
      </c>
      <c r="C11" s="17" t="s">
        <v>72</v>
      </c>
      <c r="D11" s="34" t="s">
        <v>56</v>
      </c>
      <c r="E11" s="17" t="s">
        <v>111</v>
      </c>
      <c r="F11" s="35">
        <v>1.0</v>
      </c>
      <c r="G11" s="36">
        <v>21000.0</v>
      </c>
      <c r="H11" s="36">
        <f t="shared" si="1"/>
        <v>27300</v>
      </c>
      <c r="I11" s="22">
        <f t="shared" si="2"/>
        <v>27300</v>
      </c>
      <c r="J11" s="24">
        <f t="shared" si="3"/>
        <v>39858</v>
      </c>
      <c r="K11" s="27">
        <f t="shared" si="4"/>
        <v>39900</v>
      </c>
      <c r="L11" s="24">
        <f t="shared" si="5"/>
        <v>73500</v>
      </c>
      <c r="M11" s="29">
        <f t="shared" si="6"/>
        <v>73500</v>
      </c>
    </row>
    <row r="12" ht="22.5" customHeight="1">
      <c r="A12" s="16"/>
      <c r="B12" s="17" t="s">
        <v>112</v>
      </c>
      <c r="C12" s="17" t="s">
        <v>68</v>
      </c>
      <c r="D12" s="34" t="s">
        <v>56</v>
      </c>
      <c r="E12" s="17" t="s">
        <v>113</v>
      </c>
      <c r="F12" s="35">
        <v>1.0</v>
      </c>
      <c r="G12" s="36">
        <v>8300.0</v>
      </c>
      <c r="H12" s="36">
        <f t="shared" si="1"/>
        <v>10790</v>
      </c>
      <c r="I12" s="22">
        <f t="shared" si="2"/>
        <v>10800</v>
      </c>
      <c r="J12" s="24">
        <f t="shared" si="3"/>
        <v>15753.4</v>
      </c>
      <c r="K12" s="27">
        <f t="shared" si="4"/>
        <v>15800</v>
      </c>
      <c r="L12" s="24">
        <f t="shared" si="5"/>
        <v>29050</v>
      </c>
      <c r="M12" s="29">
        <f t="shared" si="6"/>
        <v>29100</v>
      </c>
    </row>
    <row r="13" ht="22.5" customHeight="1">
      <c r="A13" s="16"/>
      <c r="B13" s="17" t="s">
        <v>114</v>
      </c>
      <c r="C13" s="17" t="s">
        <v>23</v>
      </c>
      <c r="D13" s="34" t="s">
        <v>56</v>
      </c>
      <c r="E13" s="17" t="s">
        <v>113</v>
      </c>
      <c r="F13" s="35">
        <v>1.0</v>
      </c>
      <c r="G13" s="36">
        <v>8300.0</v>
      </c>
      <c r="H13" s="36">
        <f t="shared" si="1"/>
        <v>10790</v>
      </c>
      <c r="I13" s="22">
        <f t="shared" si="2"/>
        <v>10800</v>
      </c>
      <c r="J13" s="24">
        <f t="shared" si="3"/>
        <v>15753.4</v>
      </c>
      <c r="K13" s="27">
        <f t="shared" si="4"/>
        <v>15800</v>
      </c>
      <c r="L13" s="24">
        <f t="shared" si="5"/>
        <v>29050</v>
      </c>
      <c r="M13" s="29">
        <f t="shared" si="6"/>
        <v>29100</v>
      </c>
    </row>
    <row r="14" ht="22.5" customHeight="1">
      <c r="A14" s="16"/>
      <c r="B14" s="17" t="s">
        <v>115</v>
      </c>
      <c r="C14" s="17" t="s">
        <v>11</v>
      </c>
      <c r="D14" s="34" t="s">
        <v>56</v>
      </c>
      <c r="E14" s="17" t="s">
        <v>102</v>
      </c>
      <c r="F14" s="35">
        <v>2.0</v>
      </c>
      <c r="G14" s="36">
        <v>29900.0</v>
      </c>
      <c r="H14" s="36">
        <f t="shared" si="1"/>
        <v>38870</v>
      </c>
      <c r="I14" s="22">
        <f t="shared" si="2"/>
        <v>38900</v>
      </c>
      <c r="J14" s="24">
        <f t="shared" si="3"/>
        <v>56750.2</v>
      </c>
      <c r="K14" s="27">
        <f t="shared" si="4"/>
        <v>56800</v>
      </c>
      <c r="L14" s="24">
        <f t="shared" si="5"/>
        <v>104650</v>
      </c>
      <c r="M14" s="29">
        <f t="shared" si="6"/>
        <v>104700</v>
      </c>
    </row>
    <row r="15" ht="22.5" customHeight="1">
      <c r="A15" s="16"/>
      <c r="B15" s="17" t="s">
        <v>116</v>
      </c>
      <c r="C15" s="17" t="s">
        <v>85</v>
      </c>
      <c r="D15" s="34" t="s">
        <v>56</v>
      </c>
      <c r="E15" s="17" t="s">
        <v>117</v>
      </c>
      <c r="F15" s="35">
        <v>2.0</v>
      </c>
      <c r="G15" s="36">
        <v>34000.0</v>
      </c>
      <c r="H15" s="36">
        <f t="shared" si="1"/>
        <v>44200</v>
      </c>
      <c r="I15" s="22">
        <f t="shared" si="2"/>
        <v>44200</v>
      </c>
      <c r="J15" s="24">
        <f t="shared" si="3"/>
        <v>64532</v>
      </c>
      <c r="K15" s="27">
        <f t="shared" si="4"/>
        <v>64500</v>
      </c>
      <c r="L15" s="24">
        <f t="shared" si="5"/>
        <v>119000</v>
      </c>
      <c r="M15" s="29">
        <f t="shared" si="6"/>
        <v>119000</v>
      </c>
    </row>
    <row r="16" ht="22.5" customHeight="1">
      <c r="A16" s="16"/>
      <c r="B16" s="17" t="s">
        <v>118</v>
      </c>
      <c r="C16" s="17" t="s">
        <v>14</v>
      </c>
      <c r="D16" s="34" t="s">
        <v>56</v>
      </c>
      <c r="E16" s="17" t="s">
        <v>119</v>
      </c>
      <c r="F16" s="35">
        <v>1.0</v>
      </c>
      <c r="G16" s="36">
        <v>25500.0</v>
      </c>
      <c r="H16" s="36">
        <f t="shared" si="1"/>
        <v>33150</v>
      </c>
      <c r="I16" s="22">
        <f t="shared" si="2"/>
        <v>33200</v>
      </c>
      <c r="J16" s="24">
        <f t="shared" si="3"/>
        <v>48399</v>
      </c>
      <c r="K16" s="27">
        <f t="shared" si="4"/>
        <v>48400</v>
      </c>
      <c r="L16" s="24">
        <f t="shared" si="5"/>
        <v>89250</v>
      </c>
      <c r="M16" s="29">
        <f t="shared" si="6"/>
        <v>89300</v>
      </c>
    </row>
    <row r="17" ht="22.5" customHeight="1">
      <c r="A17" s="16"/>
      <c r="B17" s="17" t="s">
        <v>120</v>
      </c>
      <c r="C17" s="17" t="s">
        <v>90</v>
      </c>
      <c r="D17" s="34" t="s">
        <v>56</v>
      </c>
      <c r="E17" s="17" t="s">
        <v>121</v>
      </c>
      <c r="F17" s="35">
        <v>1.0</v>
      </c>
      <c r="G17" s="36">
        <v>27300.0</v>
      </c>
      <c r="H17" s="36">
        <f t="shared" si="1"/>
        <v>35490</v>
      </c>
      <c r="I17" s="22">
        <f t="shared" si="2"/>
        <v>35500</v>
      </c>
      <c r="J17" s="24">
        <f t="shared" si="3"/>
        <v>51815.4</v>
      </c>
      <c r="K17" s="27">
        <f t="shared" si="4"/>
        <v>51800</v>
      </c>
      <c r="L17" s="24">
        <f t="shared" si="5"/>
        <v>95550</v>
      </c>
      <c r="M17" s="29">
        <f t="shared" si="6"/>
        <v>95600</v>
      </c>
    </row>
    <row r="18" ht="22.5" customHeight="1">
      <c r="A18" s="16"/>
      <c r="B18" s="17" t="s">
        <v>122</v>
      </c>
      <c r="C18" s="17" t="s">
        <v>44</v>
      </c>
      <c r="D18" s="34" t="s">
        <v>56</v>
      </c>
      <c r="E18" s="17" t="s">
        <v>123</v>
      </c>
      <c r="F18" s="35">
        <v>1.0</v>
      </c>
      <c r="G18" s="36">
        <v>12200.0</v>
      </c>
      <c r="H18" s="36">
        <f t="shared" si="1"/>
        <v>15860</v>
      </c>
      <c r="I18" s="22">
        <f t="shared" si="2"/>
        <v>15900</v>
      </c>
      <c r="J18" s="24">
        <f t="shared" si="3"/>
        <v>23155.6</v>
      </c>
      <c r="K18" s="27">
        <f t="shared" si="4"/>
        <v>23200</v>
      </c>
      <c r="L18" s="24">
        <f t="shared" si="5"/>
        <v>42700</v>
      </c>
      <c r="M18" s="29">
        <f t="shared" si="6"/>
        <v>42700</v>
      </c>
    </row>
    <row r="19" ht="22.5" customHeight="1">
      <c r="A19" s="16"/>
      <c r="B19" s="17" t="s">
        <v>124</v>
      </c>
      <c r="C19" s="17" t="s">
        <v>35</v>
      </c>
      <c r="D19" s="34" t="s">
        <v>56</v>
      </c>
      <c r="E19" s="17" t="s">
        <v>125</v>
      </c>
      <c r="F19" s="35">
        <v>1.0</v>
      </c>
      <c r="G19" s="36">
        <v>31300.0</v>
      </c>
      <c r="H19" s="36">
        <f t="shared" si="1"/>
        <v>40690</v>
      </c>
      <c r="I19" s="22">
        <f t="shared" si="2"/>
        <v>40700</v>
      </c>
      <c r="J19" s="24">
        <f t="shared" si="3"/>
        <v>59407.4</v>
      </c>
      <c r="K19" s="27">
        <f t="shared" si="4"/>
        <v>59400</v>
      </c>
      <c r="L19" s="24">
        <f t="shared" si="5"/>
        <v>109550</v>
      </c>
      <c r="M19" s="29">
        <f t="shared" si="6"/>
        <v>109600</v>
      </c>
    </row>
    <row r="20" ht="22.5" customHeight="1">
      <c r="A20" s="16"/>
      <c r="B20" s="17" t="s">
        <v>126</v>
      </c>
      <c r="C20" s="17" t="s">
        <v>40</v>
      </c>
      <c r="D20" s="34" t="s">
        <v>56</v>
      </c>
      <c r="E20" s="17" t="s">
        <v>127</v>
      </c>
      <c r="F20" s="35">
        <v>1.0</v>
      </c>
      <c r="G20" s="36">
        <v>16300.0</v>
      </c>
      <c r="H20" s="36">
        <f t="shared" si="1"/>
        <v>21190</v>
      </c>
      <c r="I20" s="22">
        <f t="shared" si="2"/>
        <v>21200</v>
      </c>
      <c r="J20" s="24">
        <f t="shared" si="3"/>
        <v>30937.4</v>
      </c>
      <c r="K20" s="27">
        <f t="shared" si="4"/>
        <v>30900</v>
      </c>
      <c r="L20" s="24">
        <f t="shared" si="5"/>
        <v>57050</v>
      </c>
      <c r="M20" s="29">
        <f t="shared" si="6"/>
        <v>57100</v>
      </c>
      <c r="N20" s="37"/>
      <c r="O20" s="37"/>
      <c r="P20" s="37"/>
    </row>
    <row r="21" ht="22.5" customHeight="1">
      <c r="A21" s="16"/>
      <c r="B21" s="17" t="s">
        <v>128</v>
      </c>
      <c r="C21" s="17" t="s">
        <v>20</v>
      </c>
      <c r="D21" s="34" t="s">
        <v>56</v>
      </c>
      <c r="E21" s="17" t="s">
        <v>129</v>
      </c>
      <c r="F21" s="35">
        <v>1.0</v>
      </c>
      <c r="G21" s="36">
        <v>16500.0</v>
      </c>
      <c r="H21" s="36">
        <f t="shared" si="1"/>
        <v>21450</v>
      </c>
      <c r="I21" s="22">
        <f t="shared" si="2"/>
        <v>21500</v>
      </c>
      <c r="J21" s="24">
        <f t="shared" si="3"/>
        <v>31317</v>
      </c>
      <c r="K21" s="27">
        <f t="shared" si="4"/>
        <v>31300</v>
      </c>
      <c r="L21" s="24">
        <f t="shared" si="5"/>
        <v>57750</v>
      </c>
      <c r="M21" s="29">
        <f t="shared" si="6"/>
        <v>57800</v>
      </c>
    </row>
    <row r="22" ht="22.5" customHeight="1">
      <c r="A22" s="16"/>
      <c r="B22" s="17" t="s">
        <v>130</v>
      </c>
      <c r="C22" s="17" t="s">
        <v>58</v>
      </c>
      <c r="D22" s="34" t="s">
        <v>56</v>
      </c>
      <c r="E22" s="17" t="s">
        <v>131</v>
      </c>
      <c r="F22" s="35">
        <v>1.0</v>
      </c>
      <c r="G22" s="36">
        <v>19900.0</v>
      </c>
      <c r="H22" s="36">
        <f t="shared" si="1"/>
        <v>25870</v>
      </c>
      <c r="I22" s="22">
        <f t="shared" si="2"/>
        <v>25900</v>
      </c>
      <c r="J22" s="24">
        <f t="shared" si="3"/>
        <v>37770.2</v>
      </c>
      <c r="K22" s="27">
        <f t="shared" si="4"/>
        <v>37800</v>
      </c>
      <c r="L22" s="24">
        <f t="shared" si="5"/>
        <v>69650</v>
      </c>
      <c r="M22" s="29">
        <f t="shared" si="6"/>
        <v>69700</v>
      </c>
    </row>
    <row r="23" ht="22.5" customHeight="1">
      <c r="A23" s="16"/>
      <c r="B23" s="17" t="s">
        <v>132</v>
      </c>
      <c r="C23" s="17" t="s">
        <v>65</v>
      </c>
      <c r="D23" s="34" t="s">
        <v>56</v>
      </c>
      <c r="E23" s="17" t="s">
        <v>133</v>
      </c>
      <c r="F23" s="35">
        <v>1.0</v>
      </c>
      <c r="G23" s="36">
        <v>22700.0</v>
      </c>
      <c r="H23" s="36">
        <f t="shared" si="1"/>
        <v>29510</v>
      </c>
      <c r="I23" s="22">
        <f t="shared" si="2"/>
        <v>29500</v>
      </c>
      <c r="J23" s="24">
        <f t="shared" si="3"/>
        <v>43084.6</v>
      </c>
      <c r="K23" s="27">
        <f t="shared" si="4"/>
        <v>43100</v>
      </c>
      <c r="L23" s="24">
        <f t="shared" si="5"/>
        <v>79450</v>
      </c>
      <c r="M23" s="29">
        <f t="shared" si="6"/>
        <v>79500</v>
      </c>
    </row>
    <row r="24" ht="22.5" customHeight="1">
      <c r="A24" s="16"/>
      <c r="B24" s="17" t="s">
        <v>134</v>
      </c>
      <c r="C24" s="17" t="s">
        <v>50</v>
      </c>
      <c r="D24" s="34" t="s">
        <v>56</v>
      </c>
      <c r="E24" s="17" t="s">
        <v>135</v>
      </c>
      <c r="F24" s="35">
        <v>1.0</v>
      </c>
      <c r="G24" s="36">
        <v>30000.0</v>
      </c>
      <c r="H24" s="36">
        <f t="shared" si="1"/>
        <v>39000</v>
      </c>
      <c r="I24" s="22">
        <f t="shared" si="2"/>
        <v>39000</v>
      </c>
      <c r="J24" s="24">
        <f t="shared" si="3"/>
        <v>56940</v>
      </c>
      <c r="K24" s="27">
        <f t="shared" si="4"/>
        <v>56900</v>
      </c>
      <c r="L24" s="24">
        <f t="shared" si="5"/>
        <v>105000</v>
      </c>
      <c r="M24" s="29">
        <f t="shared" si="6"/>
        <v>105000</v>
      </c>
    </row>
    <row r="25" ht="22.5" customHeight="1">
      <c r="A25" s="16"/>
      <c r="B25" s="17" t="s">
        <v>136</v>
      </c>
      <c r="C25" s="17" t="s">
        <v>79</v>
      </c>
      <c r="D25" s="34" t="s">
        <v>56</v>
      </c>
      <c r="E25" s="17" t="s">
        <v>137</v>
      </c>
      <c r="F25" s="35">
        <v>1.0</v>
      </c>
      <c r="G25" s="36">
        <v>33400.0</v>
      </c>
      <c r="H25" s="36">
        <f t="shared" si="1"/>
        <v>43420</v>
      </c>
      <c r="I25" s="22">
        <f t="shared" si="2"/>
        <v>43400</v>
      </c>
      <c r="J25" s="24">
        <f t="shared" si="3"/>
        <v>63393.2</v>
      </c>
      <c r="K25" s="27">
        <f t="shared" si="4"/>
        <v>63400</v>
      </c>
      <c r="L25" s="24">
        <f t="shared" si="5"/>
        <v>116900</v>
      </c>
      <c r="M25" s="29">
        <f t="shared" si="6"/>
        <v>116900</v>
      </c>
    </row>
    <row r="26" ht="22.5" customHeight="1">
      <c r="A26" s="16"/>
      <c r="B26" s="17" t="s">
        <v>138</v>
      </c>
      <c r="C26" s="17" t="s">
        <v>26</v>
      </c>
      <c r="D26" s="34" t="s">
        <v>56</v>
      </c>
      <c r="E26" s="17" t="s">
        <v>139</v>
      </c>
      <c r="F26" s="35">
        <v>1.0</v>
      </c>
      <c r="G26" s="36">
        <v>14000.0</v>
      </c>
      <c r="H26" s="36">
        <f t="shared" si="1"/>
        <v>18200</v>
      </c>
      <c r="I26" s="22">
        <f t="shared" si="2"/>
        <v>18200</v>
      </c>
      <c r="J26" s="24">
        <f t="shared" si="3"/>
        <v>26572</v>
      </c>
      <c r="K26" s="27">
        <f t="shared" si="4"/>
        <v>26600</v>
      </c>
      <c r="L26" s="24">
        <f t="shared" si="5"/>
        <v>49000</v>
      </c>
      <c r="M26" s="29">
        <f t="shared" si="6"/>
        <v>49000</v>
      </c>
    </row>
    <row r="27" ht="22.5" customHeight="1">
      <c r="A27" s="16"/>
      <c r="B27" s="17" t="s">
        <v>140</v>
      </c>
      <c r="C27" s="17" t="s">
        <v>52</v>
      </c>
      <c r="D27" s="34" t="s">
        <v>56</v>
      </c>
      <c r="E27" s="17" t="s">
        <v>141</v>
      </c>
      <c r="F27" s="35">
        <v>1.0</v>
      </c>
      <c r="G27" s="36">
        <v>15900.0</v>
      </c>
      <c r="H27" s="36">
        <f t="shared" si="1"/>
        <v>20670</v>
      </c>
      <c r="I27" s="22">
        <f t="shared" si="2"/>
        <v>20700</v>
      </c>
      <c r="J27" s="24">
        <f t="shared" si="3"/>
        <v>30178.2</v>
      </c>
      <c r="K27" s="27">
        <f t="shared" si="4"/>
        <v>30200</v>
      </c>
      <c r="L27" s="24">
        <f t="shared" si="5"/>
        <v>55650</v>
      </c>
      <c r="M27" s="29">
        <f t="shared" si="6"/>
        <v>55700</v>
      </c>
    </row>
    <row r="28" ht="22.5" customHeight="1">
      <c r="A28" s="16"/>
      <c r="B28" s="17" t="s">
        <v>142</v>
      </c>
      <c r="C28" s="17" t="s">
        <v>87</v>
      </c>
      <c r="D28" s="34" t="s">
        <v>56</v>
      </c>
      <c r="E28" s="17" t="s">
        <v>143</v>
      </c>
      <c r="F28" s="35">
        <v>1.0</v>
      </c>
      <c r="G28" s="36">
        <v>26000.0</v>
      </c>
      <c r="H28" s="36">
        <f t="shared" si="1"/>
        <v>33800</v>
      </c>
      <c r="I28" s="22">
        <f t="shared" si="2"/>
        <v>33800</v>
      </c>
      <c r="J28" s="24">
        <f t="shared" si="3"/>
        <v>49348</v>
      </c>
      <c r="K28" s="27">
        <f t="shared" si="4"/>
        <v>49300</v>
      </c>
      <c r="L28" s="24">
        <f t="shared" si="5"/>
        <v>91000</v>
      </c>
      <c r="M28" s="29">
        <f t="shared" si="6"/>
        <v>91000</v>
      </c>
    </row>
    <row r="29" ht="22.5" customHeight="1">
      <c r="A29" s="16"/>
      <c r="B29" s="17" t="s">
        <v>144</v>
      </c>
      <c r="C29" s="17" t="s">
        <v>61</v>
      </c>
      <c r="D29" s="34" t="s">
        <v>56</v>
      </c>
      <c r="E29" s="17" t="s">
        <v>145</v>
      </c>
      <c r="F29" s="35">
        <v>1.0</v>
      </c>
      <c r="G29" s="36">
        <v>31400.0</v>
      </c>
      <c r="H29" s="36">
        <f t="shared" si="1"/>
        <v>40820</v>
      </c>
      <c r="I29" s="22">
        <f t="shared" si="2"/>
        <v>40800</v>
      </c>
      <c r="J29" s="24">
        <f t="shared" si="3"/>
        <v>59597.2</v>
      </c>
      <c r="K29" s="27">
        <f t="shared" si="4"/>
        <v>59600</v>
      </c>
      <c r="L29" s="24">
        <f t="shared" si="5"/>
        <v>109900</v>
      </c>
      <c r="M29" s="29">
        <f t="shared" si="6"/>
        <v>109900</v>
      </c>
    </row>
    <row r="30" ht="22.5" customHeight="1">
      <c r="A30" s="16"/>
      <c r="B30" s="17" t="s">
        <v>146</v>
      </c>
      <c r="C30" s="17" t="s">
        <v>18</v>
      </c>
      <c r="D30" s="34" t="s">
        <v>56</v>
      </c>
      <c r="E30" s="17" t="s">
        <v>147</v>
      </c>
      <c r="F30" s="35">
        <v>1.0</v>
      </c>
      <c r="G30" s="36">
        <v>24000.0</v>
      </c>
      <c r="H30" s="36">
        <f t="shared" si="1"/>
        <v>31200</v>
      </c>
      <c r="I30" s="22">
        <f t="shared" si="2"/>
        <v>31200</v>
      </c>
      <c r="J30" s="24">
        <f t="shared" si="3"/>
        <v>45552</v>
      </c>
      <c r="K30" s="27">
        <f t="shared" si="4"/>
        <v>45600</v>
      </c>
      <c r="L30" s="24">
        <f t="shared" si="5"/>
        <v>84000</v>
      </c>
      <c r="M30" s="29">
        <f t="shared" si="6"/>
        <v>84000</v>
      </c>
    </row>
    <row r="31" ht="22.5" customHeight="1">
      <c r="A31" s="16"/>
      <c r="B31" s="17" t="s">
        <v>148</v>
      </c>
      <c r="C31" s="17" t="s">
        <v>48</v>
      </c>
      <c r="D31" s="34" t="s">
        <v>56</v>
      </c>
      <c r="E31" s="17" t="s">
        <v>149</v>
      </c>
      <c r="F31" s="35">
        <v>1.0</v>
      </c>
      <c r="G31" s="36">
        <v>27100.0</v>
      </c>
      <c r="H31" s="36">
        <f t="shared" si="1"/>
        <v>35230</v>
      </c>
      <c r="I31" s="22">
        <f t="shared" si="2"/>
        <v>35200</v>
      </c>
      <c r="J31" s="24">
        <f t="shared" si="3"/>
        <v>51435.8</v>
      </c>
      <c r="K31" s="27">
        <f t="shared" si="4"/>
        <v>51400</v>
      </c>
      <c r="L31" s="24">
        <f t="shared" si="5"/>
        <v>94850</v>
      </c>
      <c r="M31" s="29">
        <f t="shared" si="6"/>
        <v>94900</v>
      </c>
    </row>
    <row r="32" ht="22.5" customHeight="1">
      <c r="A32" s="16"/>
      <c r="B32" s="17" t="s">
        <v>150</v>
      </c>
      <c r="C32" s="17" t="s">
        <v>254</v>
      </c>
      <c r="D32" s="34" t="s">
        <v>56</v>
      </c>
      <c r="E32" s="17" t="s">
        <v>151</v>
      </c>
      <c r="F32" s="35">
        <v>1.0</v>
      </c>
      <c r="G32" s="36">
        <v>6900.0</v>
      </c>
      <c r="H32" s="36">
        <f t="shared" si="1"/>
        <v>8970</v>
      </c>
      <c r="I32" s="22">
        <f t="shared" si="2"/>
        <v>9000</v>
      </c>
      <c r="J32" s="24">
        <f t="shared" si="3"/>
        <v>13096.2</v>
      </c>
      <c r="K32" s="27">
        <f t="shared" si="4"/>
        <v>13100</v>
      </c>
      <c r="L32" s="24">
        <f t="shared" si="5"/>
        <v>24150</v>
      </c>
      <c r="M32" s="29">
        <f t="shared" si="6"/>
        <v>24200</v>
      </c>
    </row>
    <row r="33" ht="22.5" customHeight="1">
      <c r="A33" s="16"/>
      <c r="B33" s="17" t="s">
        <v>152</v>
      </c>
      <c r="C33" s="19" t="s">
        <v>255</v>
      </c>
      <c r="D33" s="34" t="s">
        <v>56</v>
      </c>
      <c r="E33" s="17" t="s">
        <v>153</v>
      </c>
      <c r="F33" s="35">
        <v>1.0</v>
      </c>
      <c r="G33" s="36">
        <v>6900.0</v>
      </c>
      <c r="H33" s="36">
        <f t="shared" si="1"/>
        <v>8970</v>
      </c>
      <c r="I33" s="22">
        <f t="shared" si="2"/>
        <v>9000</v>
      </c>
      <c r="J33" s="24">
        <f t="shared" si="3"/>
        <v>13096.2</v>
      </c>
      <c r="K33" s="27">
        <f t="shared" si="4"/>
        <v>13100</v>
      </c>
      <c r="L33" s="24">
        <f t="shared" si="5"/>
        <v>24150</v>
      </c>
      <c r="M33" s="29">
        <f t="shared" si="6"/>
        <v>24200</v>
      </c>
    </row>
    <row r="34" ht="22.5" customHeight="1">
      <c r="A34" s="16"/>
      <c r="B34" s="17" t="s">
        <v>154</v>
      </c>
      <c r="C34" s="19" t="s">
        <v>256</v>
      </c>
      <c r="D34" s="34" t="s">
        <v>56</v>
      </c>
      <c r="E34" s="17" t="s">
        <v>155</v>
      </c>
      <c r="F34" s="35">
        <v>1.0</v>
      </c>
      <c r="G34" s="36">
        <v>6900.0</v>
      </c>
      <c r="H34" s="36">
        <f t="shared" si="1"/>
        <v>8970</v>
      </c>
      <c r="I34" s="22">
        <f t="shared" si="2"/>
        <v>9000</v>
      </c>
      <c r="J34" s="24">
        <f t="shared" si="3"/>
        <v>13096.2</v>
      </c>
      <c r="K34" s="27">
        <f t="shared" si="4"/>
        <v>13100</v>
      </c>
      <c r="L34" s="24">
        <f t="shared" si="5"/>
        <v>24150</v>
      </c>
      <c r="M34" s="29">
        <f t="shared" si="6"/>
        <v>24200</v>
      </c>
    </row>
    <row r="35" ht="22.5" customHeight="1">
      <c r="A35" s="16"/>
      <c r="B35" s="17" t="s">
        <v>156</v>
      </c>
      <c r="C35" s="19" t="s">
        <v>257</v>
      </c>
      <c r="D35" s="34" t="s">
        <v>56</v>
      </c>
      <c r="E35" s="17" t="s">
        <v>157</v>
      </c>
      <c r="F35" s="35">
        <v>1.0</v>
      </c>
      <c r="G35" s="36">
        <v>6900.0</v>
      </c>
      <c r="H35" s="36">
        <f t="shared" si="1"/>
        <v>8970</v>
      </c>
      <c r="I35" s="22">
        <f t="shared" si="2"/>
        <v>9000</v>
      </c>
      <c r="J35" s="24">
        <f t="shared" si="3"/>
        <v>13096.2</v>
      </c>
      <c r="K35" s="27">
        <f t="shared" si="4"/>
        <v>13100</v>
      </c>
      <c r="L35" s="24">
        <f t="shared" si="5"/>
        <v>24150</v>
      </c>
      <c r="M35" s="29">
        <f t="shared" si="6"/>
        <v>24200</v>
      </c>
    </row>
    <row r="36" ht="22.5" customHeight="1">
      <c r="A36" s="16"/>
      <c r="B36" s="17" t="s">
        <v>158</v>
      </c>
      <c r="C36" s="19" t="s">
        <v>258</v>
      </c>
      <c r="D36" s="34" t="s">
        <v>56</v>
      </c>
      <c r="E36" s="17" t="s">
        <v>159</v>
      </c>
      <c r="F36" s="35">
        <v>1.0</v>
      </c>
      <c r="G36" s="36">
        <v>6900.0</v>
      </c>
      <c r="H36" s="36">
        <f t="shared" si="1"/>
        <v>8970</v>
      </c>
      <c r="I36" s="22">
        <f t="shared" si="2"/>
        <v>9000</v>
      </c>
      <c r="J36" s="24">
        <f t="shared" si="3"/>
        <v>13096.2</v>
      </c>
      <c r="K36" s="27">
        <f t="shared" si="4"/>
        <v>13100</v>
      </c>
      <c r="L36" s="24">
        <f t="shared" si="5"/>
        <v>24150</v>
      </c>
      <c r="M36" s="29">
        <f t="shared" si="6"/>
        <v>24200</v>
      </c>
    </row>
    <row r="37" ht="22.5" customHeight="1">
      <c r="A37" s="16"/>
      <c r="B37" s="17" t="s">
        <v>160</v>
      </c>
      <c r="C37" s="19" t="s">
        <v>259</v>
      </c>
      <c r="D37" s="34" t="s">
        <v>56</v>
      </c>
      <c r="E37" s="17" t="s">
        <v>161</v>
      </c>
      <c r="F37" s="35">
        <v>1.0</v>
      </c>
      <c r="G37" s="36">
        <v>6900.0</v>
      </c>
      <c r="H37" s="36">
        <f t="shared" si="1"/>
        <v>8970</v>
      </c>
      <c r="I37" s="22">
        <f t="shared" si="2"/>
        <v>9000</v>
      </c>
      <c r="J37" s="24">
        <f t="shared" si="3"/>
        <v>13096.2</v>
      </c>
      <c r="K37" s="27">
        <f t="shared" si="4"/>
        <v>13100</v>
      </c>
      <c r="L37" s="24">
        <f t="shared" si="5"/>
        <v>24150</v>
      </c>
      <c r="M37" s="29">
        <f t="shared" si="6"/>
        <v>24200</v>
      </c>
    </row>
    <row r="38" ht="22.5" customHeight="1">
      <c r="A38" s="16"/>
      <c r="B38" s="17" t="s">
        <v>162</v>
      </c>
      <c r="C38" s="17" t="s">
        <v>30</v>
      </c>
      <c r="D38" s="34" t="s">
        <v>56</v>
      </c>
      <c r="E38" s="17" t="s">
        <v>163</v>
      </c>
      <c r="F38" s="35">
        <v>1.0</v>
      </c>
      <c r="G38" s="36">
        <v>14500.0</v>
      </c>
      <c r="H38" s="36">
        <f t="shared" si="1"/>
        <v>18850</v>
      </c>
      <c r="I38" s="22">
        <f t="shared" si="2"/>
        <v>18900</v>
      </c>
      <c r="J38" s="24">
        <f t="shared" si="3"/>
        <v>27521</v>
      </c>
      <c r="K38" s="27">
        <f t="shared" si="4"/>
        <v>27500</v>
      </c>
      <c r="L38" s="24">
        <f t="shared" si="5"/>
        <v>50750</v>
      </c>
      <c r="M38" s="29">
        <f t="shared" si="6"/>
        <v>50800</v>
      </c>
    </row>
    <row r="39" ht="22.5" customHeight="1">
      <c r="A39" s="16"/>
      <c r="B39" s="17" t="s">
        <v>164</v>
      </c>
      <c r="C39" s="17" t="s">
        <v>33</v>
      </c>
      <c r="D39" s="34" t="s">
        <v>56</v>
      </c>
      <c r="E39" s="17" t="s">
        <v>165</v>
      </c>
      <c r="F39" s="35">
        <v>1.0</v>
      </c>
      <c r="G39" s="36">
        <v>14900.0</v>
      </c>
      <c r="H39" s="36">
        <f t="shared" si="1"/>
        <v>19370</v>
      </c>
      <c r="I39" s="22">
        <f t="shared" si="2"/>
        <v>19400</v>
      </c>
      <c r="J39" s="24">
        <f t="shared" si="3"/>
        <v>28280.2</v>
      </c>
      <c r="K39" s="27">
        <f t="shared" si="4"/>
        <v>28300</v>
      </c>
      <c r="L39" s="24">
        <f t="shared" si="5"/>
        <v>52150</v>
      </c>
      <c r="M39" s="29">
        <f t="shared" si="6"/>
        <v>52200</v>
      </c>
    </row>
    <row r="40" ht="22.5" customHeight="1">
      <c r="A40" s="16"/>
      <c r="B40" s="17" t="s">
        <v>166</v>
      </c>
      <c r="C40" s="17" t="s">
        <v>260</v>
      </c>
      <c r="D40" s="34" t="s">
        <v>56</v>
      </c>
      <c r="E40" s="17" t="s">
        <v>167</v>
      </c>
      <c r="F40" s="35">
        <v>1.0</v>
      </c>
      <c r="G40" s="36">
        <v>7500.0</v>
      </c>
      <c r="H40" s="36">
        <f t="shared" si="1"/>
        <v>9750</v>
      </c>
      <c r="I40" s="22">
        <f t="shared" si="2"/>
        <v>9800</v>
      </c>
      <c r="J40" s="24">
        <f t="shared" si="3"/>
        <v>14235</v>
      </c>
      <c r="K40" s="27">
        <f t="shared" si="4"/>
        <v>14200</v>
      </c>
      <c r="L40" s="24">
        <f t="shared" si="5"/>
        <v>26250</v>
      </c>
      <c r="M40" s="29">
        <f t="shared" si="6"/>
        <v>26300</v>
      </c>
    </row>
    <row r="41" ht="22.5" customHeight="1">
      <c r="A41" s="16"/>
      <c r="B41" s="17" t="s">
        <v>168</v>
      </c>
      <c r="C41" s="17" t="s">
        <v>261</v>
      </c>
      <c r="D41" s="34" t="s">
        <v>56</v>
      </c>
      <c r="E41" s="17" t="s">
        <v>169</v>
      </c>
      <c r="F41" s="35">
        <v>1.0</v>
      </c>
      <c r="G41" s="36">
        <v>9200.0</v>
      </c>
      <c r="H41" s="36">
        <f t="shared" si="1"/>
        <v>11960</v>
      </c>
      <c r="I41" s="22">
        <f t="shared" si="2"/>
        <v>12000</v>
      </c>
      <c r="J41" s="24">
        <f t="shared" si="3"/>
        <v>17461.6</v>
      </c>
      <c r="K41" s="27">
        <f t="shared" si="4"/>
        <v>17500</v>
      </c>
      <c r="L41" s="24">
        <f t="shared" si="5"/>
        <v>32200</v>
      </c>
      <c r="M41" s="29">
        <f t="shared" si="6"/>
        <v>32200</v>
      </c>
    </row>
    <row r="42" ht="22.5" customHeight="1">
      <c r="A42" s="16"/>
      <c r="B42" s="17" t="s">
        <v>170</v>
      </c>
      <c r="C42" s="19" t="s">
        <v>262</v>
      </c>
      <c r="D42" s="34" t="s">
        <v>56</v>
      </c>
      <c r="E42" s="17" t="s">
        <v>171</v>
      </c>
      <c r="F42" s="35">
        <v>1.0</v>
      </c>
      <c r="G42" s="36">
        <v>4400.0</v>
      </c>
      <c r="H42" s="36">
        <f t="shared" si="1"/>
        <v>5720</v>
      </c>
      <c r="I42" s="22">
        <f t="shared" si="2"/>
        <v>5700</v>
      </c>
      <c r="J42" s="24">
        <f t="shared" si="3"/>
        <v>8351.2</v>
      </c>
      <c r="K42" s="27">
        <f t="shared" si="4"/>
        <v>8400</v>
      </c>
      <c r="L42" s="24">
        <f t="shared" si="5"/>
        <v>15400</v>
      </c>
      <c r="M42" s="29">
        <f t="shared" si="6"/>
        <v>15400</v>
      </c>
    </row>
    <row r="43" ht="22.5" customHeight="1">
      <c r="A43" s="16"/>
      <c r="B43" s="17" t="s">
        <v>172</v>
      </c>
      <c r="C43" s="19" t="s">
        <v>263</v>
      </c>
      <c r="D43" s="34" t="s">
        <v>56</v>
      </c>
      <c r="E43" s="17" t="s">
        <v>173</v>
      </c>
      <c r="F43" s="35">
        <v>1.0</v>
      </c>
      <c r="G43" s="36">
        <v>4400.0</v>
      </c>
      <c r="H43" s="36">
        <f t="shared" si="1"/>
        <v>5720</v>
      </c>
      <c r="I43" s="22">
        <f t="shared" si="2"/>
        <v>5700</v>
      </c>
      <c r="J43" s="24">
        <f t="shared" si="3"/>
        <v>8351.2</v>
      </c>
      <c r="K43" s="27">
        <f t="shared" si="4"/>
        <v>8400</v>
      </c>
      <c r="L43" s="24">
        <f t="shared" si="5"/>
        <v>15400</v>
      </c>
      <c r="M43" s="29">
        <f t="shared" si="6"/>
        <v>15400</v>
      </c>
    </row>
    <row r="44" ht="22.5" customHeight="1">
      <c r="A44" s="16"/>
      <c r="B44" s="17" t="s">
        <v>174</v>
      </c>
      <c r="C44" s="19" t="s">
        <v>264</v>
      </c>
      <c r="D44" s="34" t="s">
        <v>56</v>
      </c>
      <c r="E44" s="17" t="s">
        <v>175</v>
      </c>
      <c r="F44" s="35">
        <v>1.0</v>
      </c>
      <c r="G44" s="36">
        <v>4400.0</v>
      </c>
      <c r="H44" s="36">
        <f t="shared" si="1"/>
        <v>5720</v>
      </c>
      <c r="I44" s="22">
        <f t="shared" si="2"/>
        <v>5700</v>
      </c>
      <c r="J44" s="24">
        <f t="shared" si="3"/>
        <v>8351.2</v>
      </c>
      <c r="K44" s="27">
        <f t="shared" si="4"/>
        <v>8400</v>
      </c>
      <c r="L44" s="24">
        <f t="shared" si="5"/>
        <v>15400</v>
      </c>
      <c r="M44" s="29">
        <f t="shared" si="6"/>
        <v>15400</v>
      </c>
    </row>
    <row r="45" ht="22.5" customHeight="1">
      <c r="A45" s="16"/>
      <c r="B45" s="17" t="s">
        <v>176</v>
      </c>
      <c r="C45" s="19" t="s">
        <v>265</v>
      </c>
      <c r="D45" s="34" t="s">
        <v>56</v>
      </c>
      <c r="E45" s="17" t="s">
        <v>177</v>
      </c>
      <c r="F45" s="20">
        <v>1.0</v>
      </c>
      <c r="G45" s="36">
        <v>4400.0</v>
      </c>
      <c r="H45" s="21">
        <f t="shared" si="1"/>
        <v>5720</v>
      </c>
      <c r="I45" s="22">
        <f t="shared" si="2"/>
        <v>5700</v>
      </c>
      <c r="J45" s="24">
        <f t="shared" si="3"/>
        <v>8351.2</v>
      </c>
      <c r="K45" s="27">
        <f t="shared" si="4"/>
        <v>8400</v>
      </c>
      <c r="L45" s="24">
        <f t="shared" si="5"/>
        <v>15400</v>
      </c>
      <c r="M45" s="29">
        <f t="shared" si="6"/>
        <v>15400</v>
      </c>
    </row>
    <row r="46" ht="22.5" customHeight="1">
      <c r="A46" s="16"/>
      <c r="B46" s="17" t="s">
        <v>178</v>
      </c>
      <c r="C46" s="17" t="s">
        <v>178</v>
      </c>
      <c r="D46" s="34" t="s">
        <v>266</v>
      </c>
      <c r="E46" s="19" t="s">
        <v>179</v>
      </c>
      <c r="F46" s="20">
        <v>1.0</v>
      </c>
      <c r="G46" s="21">
        <v>19500.0</v>
      </c>
      <c r="H46" s="21">
        <f t="shared" si="1"/>
        <v>25350</v>
      </c>
      <c r="I46" s="22">
        <f t="shared" si="2"/>
        <v>25400</v>
      </c>
      <c r="J46" s="24">
        <f t="shared" si="3"/>
        <v>37011</v>
      </c>
      <c r="K46" s="27">
        <f t="shared" si="4"/>
        <v>37000</v>
      </c>
      <c r="L46" s="24">
        <f t="shared" si="5"/>
        <v>68250</v>
      </c>
      <c r="M46" s="29">
        <f t="shared" si="6"/>
        <v>68300</v>
      </c>
    </row>
    <row r="47" ht="22.5" customHeight="1">
      <c r="A47" s="16"/>
      <c r="B47" s="17" t="s">
        <v>180</v>
      </c>
      <c r="C47" s="17" t="s">
        <v>180</v>
      </c>
      <c r="D47" s="34" t="s">
        <v>267</v>
      </c>
      <c r="E47" s="19" t="s">
        <v>181</v>
      </c>
      <c r="F47" s="20">
        <v>1.0</v>
      </c>
      <c r="G47" s="21">
        <v>6200.0</v>
      </c>
      <c r="H47" s="21">
        <f t="shared" si="1"/>
        <v>8060</v>
      </c>
      <c r="I47" s="22">
        <f t="shared" si="2"/>
        <v>8100</v>
      </c>
      <c r="J47" s="24">
        <f t="shared" si="3"/>
        <v>11767.6</v>
      </c>
      <c r="K47" s="27">
        <f t="shared" si="4"/>
        <v>11800</v>
      </c>
      <c r="L47" s="24">
        <f t="shared" si="5"/>
        <v>21700</v>
      </c>
      <c r="M47" s="29">
        <f t="shared" si="6"/>
        <v>21700</v>
      </c>
    </row>
    <row r="48" ht="22.5" customHeight="1">
      <c r="A48" s="16"/>
      <c r="B48" s="17" t="s">
        <v>182</v>
      </c>
      <c r="C48" s="17" t="s">
        <v>182</v>
      </c>
      <c r="D48" s="34" t="s">
        <v>267</v>
      </c>
      <c r="E48" s="19" t="s">
        <v>183</v>
      </c>
      <c r="F48" s="20">
        <v>1.0</v>
      </c>
      <c r="G48" s="21">
        <v>5900.0</v>
      </c>
      <c r="H48" s="21">
        <f t="shared" si="1"/>
        <v>7670</v>
      </c>
      <c r="I48" s="22">
        <f t="shared" si="2"/>
        <v>7700</v>
      </c>
      <c r="J48" s="24">
        <f t="shared" si="3"/>
        <v>11198.2</v>
      </c>
      <c r="K48" s="27">
        <f t="shared" si="4"/>
        <v>11200</v>
      </c>
      <c r="L48" s="24">
        <f t="shared" si="5"/>
        <v>20650</v>
      </c>
      <c r="M48" s="29">
        <f t="shared" si="6"/>
        <v>20700</v>
      </c>
    </row>
    <row r="49" ht="22.5" customHeight="1">
      <c r="A49" s="16"/>
      <c r="B49" s="17" t="s">
        <v>184</v>
      </c>
      <c r="C49" s="17" t="s">
        <v>184</v>
      </c>
      <c r="D49" s="34" t="s">
        <v>267</v>
      </c>
      <c r="E49" s="19" t="s">
        <v>185</v>
      </c>
      <c r="F49" s="20">
        <v>1.0</v>
      </c>
      <c r="G49" s="21">
        <v>4500.0</v>
      </c>
      <c r="H49" s="21">
        <f t="shared" si="1"/>
        <v>5850</v>
      </c>
      <c r="I49" s="22">
        <f t="shared" si="2"/>
        <v>5900</v>
      </c>
      <c r="J49" s="24">
        <f t="shared" si="3"/>
        <v>8541</v>
      </c>
      <c r="K49" s="27">
        <f t="shared" si="4"/>
        <v>8500</v>
      </c>
      <c r="L49" s="24">
        <f t="shared" si="5"/>
        <v>15750</v>
      </c>
      <c r="M49" s="29">
        <f t="shared" si="6"/>
        <v>15800</v>
      </c>
    </row>
    <row r="50" ht="22.5" customHeight="1">
      <c r="A50" s="16"/>
      <c r="B50" s="17" t="s">
        <v>186</v>
      </c>
      <c r="C50" s="17" t="s">
        <v>186</v>
      </c>
      <c r="D50" s="34" t="s">
        <v>267</v>
      </c>
      <c r="E50" s="19" t="s">
        <v>187</v>
      </c>
      <c r="F50" s="20">
        <v>1.0</v>
      </c>
      <c r="G50" s="21">
        <v>8700.0</v>
      </c>
      <c r="H50" s="21">
        <f t="shared" si="1"/>
        <v>11310</v>
      </c>
      <c r="I50" s="22">
        <f t="shared" si="2"/>
        <v>11300</v>
      </c>
      <c r="J50" s="24">
        <f t="shared" si="3"/>
        <v>16512.6</v>
      </c>
      <c r="K50" s="27">
        <f t="shared" si="4"/>
        <v>16500</v>
      </c>
      <c r="L50" s="24">
        <f t="shared" si="5"/>
        <v>30450</v>
      </c>
      <c r="M50" s="29">
        <f t="shared" si="6"/>
        <v>30500</v>
      </c>
    </row>
    <row r="51" ht="22.5" customHeight="1">
      <c r="A51" s="16"/>
      <c r="B51" s="17" t="s">
        <v>188</v>
      </c>
      <c r="C51" s="17" t="s">
        <v>188</v>
      </c>
      <c r="D51" s="34" t="s">
        <v>267</v>
      </c>
      <c r="E51" s="19" t="s">
        <v>189</v>
      </c>
      <c r="F51" s="20">
        <v>1.0</v>
      </c>
      <c r="G51" s="21">
        <v>7600.0</v>
      </c>
      <c r="H51" s="21">
        <f t="shared" si="1"/>
        <v>9880</v>
      </c>
      <c r="I51" s="22">
        <f t="shared" si="2"/>
        <v>9900</v>
      </c>
      <c r="J51" s="24">
        <f t="shared" si="3"/>
        <v>14424.8</v>
      </c>
      <c r="K51" s="27">
        <f t="shared" si="4"/>
        <v>14400</v>
      </c>
      <c r="L51" s="24">
        <f t="shared" si="5"/>
        <v>26600</v>
      </c>
      <c r="M51" s="29">
        <f t="shared" si="6"/>
        <v>26600</v>
      </c>
    </row>
    <row r="52" ht="22.5" customHeight="1">
      <c r="A52" s="16"/>
      <c r="B52" s="17" t="s">
        <v>190</v>
      </c>
      <c r="C52" s="17" t="s">
        <v>190</v>
      </c>
      <c r="D52" s="34" t="s">
        <v>267</v>
      </c>
      <c r="E52" s="19" t="s">
        <v>191</v>
      </c>
      <c r="F52" s="20">
        <v>1.0</v>
      </c>
      <c r="G52" s="21">
        <v>9200.0</v>
      </c>
      <c r="H52" s="21">
        <f t="shared" si="1"/>
        <v>11960</v>
      </c>
      <c r="I52" s="22">
        <f t="shared" si="2"/>
        <v>12000</v>
      </c>
      <c r="J52" s="24">
        <f t="shared" si="3"/>
        <v>17461.6</v>
      </c>
      <c r="K52" s="27">
        <f t="shared" si="4"/>
        <v>17500</v>
      </c>
      <c r="L52" s="24">
        <f t="shared" si="5"/>
        <v>32200</v>
      </c>
      <c r="M52" s="29">
        <f t="shared" si="6"/>
        <v>32200</v>
      </c>
    </row>
    <row r="53" ht="22.5" customHeight="1">
      <c r="A53" s="16"/>
      <c r="B53" s="17" t="s">
        <v>192</v>
      </c>
      <c r="C53" s="17" t="s">
        <v>192</v>
      </c>
      <c r="D53" s="34" t="s">
        <v>267</v>
      </c>
      <c r="E53" s="19" t="s">
        <v>193</v>
      </c>
      <c r="F53" s="20">
        <v>1.0</v>
      </c>
      <c r="G53" s="21">
        <v>8800.0</v>
      </c>
      <c r="H53" s="21">
        <f t="shared" si="1"/>
        <v>11440</v>
      </c>
      <c r="I53" s="22">
        <f t="shared" si="2"/>
        <v>11400</v>
      </c>
      <c r="J53" s="24">
        <f t="shared" si="3"/>
        <v>16702.4</v>
      </c>
      <c r="K53" s="27">
        <f t="shared" si="4"/>
        <v>16700</v>
      </c>
      <c r="L53" s="24">
        <f t="shared" si="5"/>
        <v>30800</v>
      </c>
      <c r="M53" s="29">
        <f t="shared" si="6"/>
        <v>30800</v>
      </c>
    </row>
    <row r="54" ht="22.5" customHeight="1">
      <c r="A54" s="16"/>
      <c r="B54" s="17" t="s">
        <v>194</v>
      </c>
      <c r="C54" s="17" t="s">
        <v>194</v>
      </c>
      <c r="D54" s="34" t="s">
        <v>267</v>
      </c>
      <c r="E54" s="19" t="s">
        <v>195</v>
      </c>
      <c r="F54" s="20">
        <v>1.0</v>
      </c>
      <c r="G54" s="21">
        <v>4900.0</v>
      </c>
      <c r="H54" s="21">
        <f t="shared" si="1"/>
        <v>6370</v>
      </c>
      <c r="I54" s="22">
        <f t="shared" si="2"/>
        <v>6400</v>
      </c>
      <c r="J54" s="24">
        <f t="shared" si="3"/>
        <v>9300.2</v>
      </c>
      <c r="K54" s="27">
        <f t="shared" si="4"/>
        <v>9300</v>
      </c>
      <c r="L54" s="24">
        <f t="shared" si="5"/>
        <v>17150</v>
      </c>
      <c r="M54" s="29">
        <f t="shared" si="6"/>
        <v>17200</v>
      </c>
    </row>
    <row r="55" ht="22.5" customHeight="1">
      <c r="A55" s="16"/>
      <c r="B55" s="17" t="s">
        <v>196</v>
      </c>
      <c r="C55" s="17" t="s">
        <v>196</v>
      </c>
      <c r="D55" s="34" t="s">
        <v>267</v>
      </c>
      <c r="E55" s="19" t="s">
        <v>197</v>
      </c>
      <c r="F55" s="20">
        <v>1.0</v>
      </c>
      <c r="G55" s="21">
        <v>4900.0</v>
      </c>
      <c r="H55" s="21">
        <f t="shared" si="1"/>
        <v>6370</v>
      </c>
      <c r="I55" s="22">
        <f t="shared" si="2"/>
        <v>6400</v>
      </c>
      <c r="J55" s="24">
        <f t="shared" si="3"/>
        <v>9300.2</v>
      </c>
      <c r="K55" s="27">
        <f t="shared" si="4"/>
        <v>9300</v>
      </c>
      <c r="L55" s="24">
        <f t="shared" si="5"/>
        <v>17150</v>
      </c>
      <c r="M55" s="29">
        <f t="shared" si="6"/>
        <v>17200</v>
      </c>
    </row>
    <row r="56" ht="22.5" customHeight="1">
      <c r="A56" s="16"/>
      <c r="B56" s="17" t="s">
        <v>198</v>
      </c>
      <c r="C56" s="17" t="s">
        <v>198</v>
      </c>
      <c r="D56" s="34" t="s">
        <v>267</v>
      </c>
      <c r="E56" s="19" t="s">
        <v>199</v>
      </c>
      <c r="F56" s="20">
        <v>1.0</v>
      </c>
      <c r="G56" s="21">
        <v>6500.0</v>
      </c>
      <c r="H56" s="21">
        <f t="shared" si="1"/>
        <v>8450</v>
      </c>
      <c r="I56" s="22">
        <f t="shared" si="2"/>
        <v>8500</v>
      </c>
      <c r="J56" s="24">
        <f t="shared" si="3"/>
        <v>12337</v>
      </c>
      <c r="K56" s="27">
        <f t="shared" si="4"/>
        <v>12300</v>
      </c>
      <c r="L56" s="24">
        <f t="shared" si="5"/>
        <v>22750</v>
      </c>
      <c r="M56" s="29">
        <f t="shared" si="6"/>
        <v>22800</v>
      </c>
    </row>
    <row r="57" ht="22.5" customHeight="1">
      <c r="A57" s="16"/>
      <c r="B57" s="17" t="s">
        <v>200</v>
      </c>
      <c r="C57" s="17" t="s">
        <v>200</v>
      </c>
      <c r="D57" s="34" t="s">
        <v>267</v>
      </c>
      <c r="E57" s="19" t="s">
        <v>201</v>
      </c>
      <c r="F57" s="20">
        <v>1.0</v>
      </c>
      <c r="G57" s="21">
        <v>4900.0</v>
      </c>
      <c r="H57" s="21">
        <f t="shared" si="1"/>
        <v>6370</v>
      </c>
      <c r="I57" s="22">
        <f t="shared" si="2"/>
        <v>6400</v>
      </c>
      <c r="J57" s="24">
        <f t="shared" si="3"/>
        <v>9300.2</v>
      </c>
      <c r="K57" s="27">
        <f t="shared" si="4"/>
        <v>9300</v>
      </c>
      <c r="L57" s="24">
        <f t="shared" si="5"/>
        <v>17150</v>
      </c>
      <c r="M57" s="29">
        <f t="shared" si="6"/>
        <v>17200</v>
      </c>
    </row>
    <row r="58" ht="22.5" customHeight="1">
      <c r="A58" s="16"/>
      <c r="B58" s="17" t="s">
        <v>202</v>
      </c>
      <c r="C58" s="17" t="s">
        <v>202</v>
      </c>
      <c r="D58" s="34" t="s">
        <v>267</v>
      </c>
      <c r="E58" s="19" t="s">
        <v>203</v>
      </c>
      <c r="F58" s="20">
        <v>1.0</v>
      </c>
      <c r="G58" s="21">
        <v>4900.0</v>
      </c>
      <c r="H58" s="21">
        <f t="shared" si="1"/>
        <v>6370</v>
      </c>
      <c r="I58" s="22">
        <f t="shared" si="2"/>
        <v>6400</v>
      </c>
      <c r="J58" s="24">
        <f t="shared" si="3"/>
        <v>9300.2</v>
      </c>
      <c r="K58" s="27">
        <f t="shared" si="4"/>
        <v>9300</v>
      </c>
      <c r="L58" s="24">
        <f t="shared" si="5"/>
        <v>17150</v>
      </c>
      <c r="M58" s="29">
        <f t="shared" si="6"/>
        <v>17200</v>
      </c>
    </row>
    <row r="59" ht="22.5" customHeight="1">
      <c r="A59" s="16"/>
      <c r="B59" s="17" t="s">
        <v>204</v>
      </c>
      <c r="C59" s="17" t="s">
        <v>204</v>
      </c>
      <c r="D59" s="34" t="s">
        <v>267</v>
      </c>
      <c r="E59" s="19" t="s">
        <v>205</v>
      </c>
      <c r="F59" s="20">
        <v>1.0</v>
      </c>
      <c r="G59" s="21">
        <v>4900.0</v>
      </c>
      <c r="H59" s="21">
        <f t="shared" si="1"/>
        <v>6370</v>
      </c>
      <c r="I59" s="22">
        <f t="shared" si="2"/>
        <v>6400</v>
      </c>
      <c r="J59" s="24">
        <f t="shared" si="3"/>
        <v>9300.2</v>
      </c>
      <c r="K59" s="27">
        <f t="shared" si="4"/>
        <v>9300</v>
      </c>
      <c r="L59" s="24">
        <f t="shared" si="5"/>
        <v>17150</v>
      </c>
      <c r="M59" s="29">
        <f t="shared" si="6"/>
        <v>17200</v>
      </c>
    </row>
    <row r="60" ht="22.5" customHeight="1">
      <c r="A60" s="16"/>
      <c r="B60" s="17" t="s">
        <v>206</v>
      </c>
      <c r="C60" s="17" t="s">
        <v>206</v>
      </c>
      <c r="D60" s="34" t="s">
        <v>267</v>
      </c>
      <c r="E60" s="19" t="s">
        <v>207</v>
      </c>
      <c r="F60" s="20">
        <v>1.0</v>
      </c>
      <c r="G60" s="21">
        <v>4900.0</v>
      </c>
      <c r="H60" s="21">
        <f t="shared" si="1"/>
        <v>6370</v>
      </c>
      <c r="I60" s="22">
        <f t="shared" si="2"/>
        <v>6400</v>
      </c>
      <c r="J60" s="24">
        <f t="shared" si="3"/>
        <v>9300.2</v>
      </c>
      <c r="K60" s="27">
        <f t="shared" si="4"/>
        <v>9300</v>
      </c>
      <c r="L60" s="24">
        <f t="shared" si="5"/>
        <v>17150</v>
      </c>
      <c r="M60" s="29">
        <f t="shared" si="6"/>
        <v>17200</v>
      </c>
    </row>
    <row r="61" ht="22.5" customHeight="1">
      <c r="A61" s="16"/>
      <c r="B61" s="17" t="s">
        <v>208</v>
      </c>
      <c r="C61" s="17" t="s">
        <v>208</v>
      </c>
      <c r="D61" s="34" t="s">
        <v>267</v>
      </c>
      <c r="E61" s="19" t="s">
        <v>209</v>
      </c>
      <c r="F61" s="20">
        <v>1.0</v>
      </c>
      <c r="G61" s="21">
        <v>4900.0</v>
      </c>
      <c r="H61" s="21">
        <f t="shared" si="1"/>
        <v>6370</v>
      </c>
      <c r="I61" s="22">
        <f t="shared" si="2"/>
        <v>6400</v>
      </c>
      <c r="J61" s="24">
        <f t="shared" si="3"/>
        <v>9300.2</v>
      </c>
      <c r="K61" s="27">
        <f t="shared" si="4"/>
        <v>9300</v>
      </c>
      <c r="L61" s="24">
        <f t="shared" si="5"/>
        <v>17150</v>
      </c>
      <c r="M61" s="29">
        <f t="shared" si="6"/>
        <v>17200</v>
      </c>
    </row>
    <row r="62" ht="22.5" customHeight="1">
      <c r="A62" s="16"/>
      <c r="B62" s="17" t="s">
        <v>210</v>
      </c>
      <c r="C62" s="17" t="s">
        <v>210</v>
      </c>
      <c r="D62" s="34" t="s">
        <v>267</v>
      </c>
      <c r="E62" s="19" t="s">
        <v>211</v>
      </c>
      <c r="F62" s="20">
        <v>1.0</v>
      </c>
      <c r="G62" s="21">
        <v>4900.0</v>
      </c>
      <c r="H62" s="21">
        <f t="shared" si="1"/>
        <v>6370</v>
      </c>
      <c r="I62" s="22">
        <f t="shared" si="2"/>
        <v>6400</v>
      </c>
      <c r="J62" s="24">
        <f t="shared" si="3"/>
        <v>9300.2</v>
      </c>
      <c r="K62" s="27">
        <f t="shared" si="4"/>
        <v>9300</v>
      </c>
      <c r="L62" s="24">
        <f t="shared" si="5"/>
        <v>17150</v>
      </c>
      <c r="M62" s="29">
        <f t="shared" si="6"/>
        <v>17200</v>
      </c>
    </row>
    <row r="63" ht="22.5" customHeight="1">
      <c r="A63" s="16"/>
      <c r="B63" s="17" t="s">
        <v>212</v>
      </c>
      <c r="C63" s="17" t="s">
        <v>212</v>
      </c>
      <c r="D63" s="34" t="s">
        <v>267</v>
      </c>
      <c r="E63" s="19" t="s">
        <v>213</v>
      </c>
      <c r="F63" s="20">
        <v>1.0</v>
      </c>
      <c r="G63" s="21">
        <v>4900.0</v>
      </c>
      <c r="H63" s="21">
        <f t="shared" si="1"/>
        <v>6370</v>
      </c>
      <c r="I63" s="22">
        <f t="shared" si="2"/>
        <v>6400</v>
      </c>
      <c r="J63" s="24">
        <f t="shared" si="3"/>
        <v>9300.2</v>
      </c>
      <c r="K63" s="27">
        <f t="shared" si="4"/>
        <v>9300</v>
      </c>
      <c r="L63" s="24">
        <f t="shared" si="5"/>
        <v>17150</v>
      </c>
      <c r="M63" s="29">
        <f t="shared" si="6"/>
        <v>17200</v>
      </c>
    </row>
    <row r="64" ht="22.5" customHeight="1">
      <c r="A64" s="16"/>
      <c r="B64" s="17" t="s">
        <v>214</v>
      </c>
      <c r="C64" s="17" t="s">
        <v>214</v>
      </c>
      <c r="D64" s="34" t="s">
        <v>267</v>
      </c>
      <c r="E64" s="19" t="s">
        <v>215</v>
      </c>
      <c r="F64" s="20">
        <v>1.0</v>
      </c>
      <c r="G64" s="21">
        <v>4900.0</v>
      </c>
      <c r="H64" s="21">
        <f t="shared" si="1"/>
        <v>6370</v>
      </c>
      <c r="I64" s="22">
        <f t="shared" si="2"/>
        <v>6400</v>
      </c>
      <c r="J64" s="24">
        <f t="shared" si="3"/>
        <v>9300.2</v>
      </c>
      <c r="K64" s="27">
        <f t="shared" si="4"/>
        <v>9300</v>
      </c>
      <c r="L64" s="24">
        <f t="shared" si="5"/>
        <v>17150</v>
      </c>
      <c r="M64" s="29">
        <f t="shared" si="6"/>
        <v>17200</v>
      </c>
    </row>
    <row r="65" ht="22.5" customHeight="1">
      <c r="A65" s="16"/>
      <c r="B65" s="17" t="s">
        <v>216</v>
      </c>
      <c r="C65" s="17" t="s">
        <v>216</v>
      </c>
      <c r="D65" s="34" t="s">
        <v>267</v>
      </c>
      <c r="E65" s="19" t="s">
        <v>217</v>
      </c>
      <c r="F65" s="20">
        <v>1.0</v>
      </c>
      <c r="G65" s="21">
        <v>4900.0</v>
      </c>
      <c r="H65" s="21">
        <f t="shared" si="1"/>
        <v>6370</v>
      </c>
      <c r="I65" s="22">
        <f t="shared" si="2"/>
        <v>6400</v>
      </c>
      <c r="J65" s="24">
        <f t="shared" si="3"/>
        <v>9300.2</v>
      </c>
      <c r="K65" s="27">
        <f t="shared" si="4"/>
        <v>9300</v>
      </c>
      <c r="L65" s="24">
        <f t="shared" si="5"/>
        <v>17150</v>
      </c>
      <c r="M65" s="29">
        <f t="shared" si="6"/>
        <v>17200</v>
      </c>
    </row>
    <row r="66" ht="22.5" customHeight="1">
      <c r="A66" s="16"/>
      <c r="B66" s="17" t="s">
        <v>218</v>
      </c>
      <c r="C66" s="17" t="s">
        <v>218</v>
      </c>
      <c r="D66" s="34" t="s">
        <v>267</v>
      </c>
      <c r="E66" s="19" t="s">
        <v>219</v>
      </c>
      <c r="F66" s="20">
        <v>1.0</v>
      </c>
      <c r="G66" s="21">
        <v>4900.0</v>
      </c>
      <c r="H66" s="21">
        <f t="shared" si="1"/>
        <v>6370</v>
      </c>
      <c r="I66" s="22">
        <f t="shared" si="2"/>
        <v>6400</v>
      </c>
      <c r="J66" s="24">
        <f t="shared" si="3"/>
        <v>9300.2</v>
      </c>
      <c r="K66" s="27">
        <f t="shared" si="4"/>
        <v>9300</v>
      </c>
      <c r="L66" s="24">
        <f t="shared" si="5"/>
        <v>17150</v>
      </c>
      <c r="M66" s="29">
        <f t="shared" si="6"/>
        <v>17200</v>
      </c>
    </row>
    <row r="67" ht="22.5" customHeight="1">
      <c r="A67" s="16"/>
      <c r="B67" s="17" t="s">
        <v>220</v>
      </c>
      <c r="C67" s="17" t="s">
        <v>220</v>
      </c>
      <c r="D67" s="34" t="s">
        <v>267</v>
      </c>
      <c r="E67" s="19" t="s">
        <v>221</v>
      </c>
      <c r="F67" s="20">
        <v>1.0</v>
      </c>
      <c r="G67" s="21">
        <v>4900.0</v>
      </c>
      <c r="H67" s="21">
        <f t="shared" si="1"/>
        <v>6370</v>
      </c>
      <c r="I67" s="22">
        <f t="shared" si="2"/>
        <v>6400</v>
      </c>
      <c r="J67" s="24">
        <f t="shared" si="3"/>
        <v>9300.2</v>
      </c>
      <c r="K67" s="27">
        <f t="shared" si="4"/>
        <v>9300</v>
      </c>
      <c r="L67" s="24">
        <f t="shared" si="5"/>
        <v>17150</v>
      </c>
      <c r="M67" s="29">
        <f t="shared" si="6"/>
        <v>17200</v>
      </c>
    </row>
    <row r="68" ht="22.5" customHeight="1">
      <c r="A68" s="16"/>
      <c r="B68" s="17" t="s">
        <v>222</v>
      </c>
      <c r="C68" s="17" t="s">
        <v>222</v>
      </c>
      <c r="D68" s="34" t="s">
        <v>267</v>
      </c>
      <c r="E68" s="19" t="s">
        <v>223</v>
      </c>
      <c r="F68" s="20">
        <v>1.0</v>
      </c>
      <c r="G68" s="21">
        <v>4900.0</v>
      </c>
      <c r="H68" s="21">
        <f t="shared" si="1"/>
        <v>6370</v>
      </c>
      <c r="I68" s="22">
        <f t="shared" si="2"/>
        <v>6400</v>
      </c>
      <c r="J68" s="24">
        <f t="shared" si="3"/>
        <v>9300.2</v>
      </c>
      <c r="K68" s="27">
        <f t="shared" si="4"/>
        <v>9300</v>
      </c>
      <c r="L68" s="24">
        <f t="shared" si="5"/>
        <v>17150</v>
      </c>
      <c r="M68" s="29">
        <f t="shared" si="6"/>
        <v>17200</v>
      </c>
    </row>
    <row r="69" ht="22.5" customHeight="1">
      <c r="A69" s="16"/>
      <c r="B69" s="17" t="s">
        <v>224</v>
      </c>
      <c r="C69" s="17" t="s">
        <v>224</v>
      </c>
      <c r="D69" s="34" t="s">
        <v>267</v>
      </c>
      <c r="E69" s="19" t="s">
        <v>225</v>
      </c>
      <c r="F69" s="20">
        <v>1.0</v>
      </c>
      <c r="G69" s="21">
        <v>4900.0</v>
      </c>
      <c r="H69" s="21">
        <f t="shared" si="1"/>
        <v>6370</v>
      </c>
      <c r="I69" s="22">
        <f t="shared" si="2"/>
        <v>6400</v>
      </c>
      <c r="J69" s="24">
        <f t="shared" si="3"/>
        <v>9300.2</v>
      </c>
      <c r="K69" s="27">
        <f t="shared" si="4"/>
        <v>9300</v>
      </c>
      <c r="L69" s="24">
        <f t="shared" si="5"/>
        <v>17150</v>
      </c>
      <c r="M69" s="29">
        <f t="shared" si="6"/>
        <v>17200</v>
      </c>
    </row>
    <row r="70" ht="22.5" customHeight="1">
      <c r="A70" s="16"/>
      <c r="B70" s="17" t="s">
        <v>226</v>
      </c>
      <c r="C70" s="17" t="s">
        <v>226</v>
      </c>
      <c r="D70" s="34" t="s">
        <v>267</v>
      </c>
      <c r="E70" s="19" t="s">
        <v>227</v>
      </c>
      <c r="F70" s="20">
        <v>1.0</v>
      </c>
      <c r="G70" s="21">
        <v>4900.0</v>
      </c>
      <c r="H70" s="21">
        <f t="shared" si="1"/>
        <v>6370</v>
      </c>
      <c r="I70" s="22">
        <f t="shared" si="2"/>
        <v>6400</v>
      </c>
      <c r="J70" s="24">
        <f t="shared" si="3"/>
        <v>9300.2</v>
      </c>
      <c r="K70" s="27">
        <f t="shared" si="4"/>
        <v>9300</v>
      </c>
      <c r="L70" s="24">
        <f t="shared" si="5"/>
        <v>17150</v>
      </c>
      <c r="M70" s="29">
        <f t="shared" si="6"/>
        <v>17200</v>
      </c>
    </row>
    <row r="71" ht="22.5" customHeight="1">
      <c r="A71" s="16"/>
      <c r="B71" s="17" t="s">
        <v>228</v>
      </c>
      <c r="C71" s="17" t="s">
        <v>228</v>
      </c>
      <c r="D71" s="34" t="s">
        <v>267</v>
      </c>
      <c r="E71" s="19" t="s">
        <v>229</v>
      </c>
      <c r="F71" s="20">
        <v>1.0</v>
      </c>
      <c r="G71" s="21">
        <v>5900.0</v>
      </c>
      <c r="H71" s="21">
        <f t="shared" si="1"/>
        <v>7670</v>
      </c>
      <c r="I71" s="22">
        <f t="shared" si="2"/>
        <v>7700</v>
      </c>
      <c r="J71" s="24">
        <f t="shared" si="3"/>
        <v>11198.2</v>
      </c>
      <c r="K71" s="27">
        <f t="shared" si="4"/>
        <v>11200</v>
      </c>
      <c r="L71" s="24">
        <f t="shared" si="5"/>
        <v>20650</v>
      </c>
      <c r="M71" s="29">
        <f t="shared" si="6"/>
        <v>20700</v>
      </c>
    </row>
    <row r="72" ht="22.5" customHeight="1">
      <c r="A72" s="16"/>
      <c r="B72" s="17" t="s">
        <v>230</v>
      </c>
      <c r="C72" s="17" t="s">
        <v>230</v>
      </c>
      <c r="D72" s="34" t="s">
        <v>267</v>
      </c>
      <c r="E72" s="19" t="s">
        <v>231</v>
      </c>
      <c r="F72" s="20">
        <v>1.0</v>
      </c>
      <c r="G72" s="21">
        <v>5900.0</v>
      </c>
      <c r="H72" s="21">
        <f t="shared" si="1"/>
        <v>7670</v>
      </c>
      <c r="I72" s="22">
        <f t="shared" si="2"/>
        <v>7700</v>
      </c>
      <c r="J72" s="24">
        <f t="shared" si="3"/>
        <v>11198.2</v>
      </c>
      <c r="K72" s="27">
        <f t="shared" si="4"/>
        <v>11200</v>
      </c>
      <c r="L72" s="24">
        <f t="shared" si="5"/>
        <v>20650</v>
      </c>
      <c r="M72" s="29">
        <f t="shared" si="6"/>
        <v>20700</v>
      </c>
    </row>
    <row r="73" ht="22.5" customHeight="1">
      <c r="A73" s="16"/>
      <c r="B73" s="17" t="s">
        <v>232</v>
      </c>
      <c r="C73" s="17" t="s">
        <v>232</v>
      </c>
      <c r="D73" s="34" t="s">
        <v>267</v>
      </c>
      <c r="E73" s="19" t="s">
        <v>233</v>
      </c>
      <c r="F73" s="20">
        <v>1.0</v>
      </c>
      <c r="G73" s="21">
        <v>5900.0</v>
      </c>
      <c r="H73" s="21">
        <f t="shared" si="1"/>
        <v>7670</v>
      </c>
      <c r="I73" s="22">
        <f t="shared" si="2"/>
        <v>7700</v>
      </c>
      <c r="J73" s="24">
        <f t="shared" si="3"/>
        <v>11198.2</v>
      </c>
      <c r="K73" s="27">
        <f t="shared" si="4"/>
        <v>11200</v>
      </c>
      <c r="L73" s="24">
        <f t="shared" si="5"/>
        <v>20650</v>
      </c>
      <c r="M73" s="29">
        <f t="shared" si="6"/>
        <v>20700</v>
      </c>
    </row>
    <row r="74" ht="22.5" customHeight="1">
      <c r="A74" s="16"/>
      <c r="B74" s="17" t="s">
        <v>234</v>
      </c>
      <c r="C74" s="17" t="s">
        <v>234</v>
      </c>
      <c r="D74" s="34" t="s">
        <v>267</v>
      </c>
      <c r="E74" s="19" t="s">
        <v>235</v>
      </c>
      <c r="F74" s="20">
        <v>1.0</v>
      </c>
      <c r="G74" s="21">
        <v>5900.0</v>
      </c>
      <c r="H74" s="21">
        <f t="shared" si="1"/>
        <v>7670</v>
      </c>
      <c r="I74" s="22">
        <f t="shared" si="2"/>
        <v>7700</v>
      </c>
      <c r="J74" s="24">
        <f t="shared" si="3"/>
        <v>11198.2</v>
      </c>
      <c r="K74" s="27">
        <f t="shared" si="4"/>
        <v>11200</v>
      </c>
      <c r="L74" s="24">
        <f t="shared" si="5"/>
        <v>20650</v>
      </c>
      <c r="M74" s="29">
        <f t="shared" si="6"/>
        <v>20700</v>
      </c>
    </row>
    <row r="75" ht="22.5" customHeight="1">
      <c r="A75" s="16"/>
      <c r="B75" s="17" t="s">
        <v>236</v>
      </c>
      <c r="C75" s="17" t="s">
        <v>236</v>
      </c>
      <c r="D75" s="34" t="s">
        <v>267</v>
      </c>
      <c r="E75" s="19" t="s">
        <v>237</v>
      </c>
      <c r="F75" s="20">
        <v>1.0</v>
      </c>
      <c r="G75" s="21">
        <v>5900.0</v>
      </c>
      <c r="H75" s="21">
        <f t="shared" si="1"/>
        <v>7670</v>
      </c>
      <c r="I75" s="22">
        <f t="shared" si="2"/>
        <v>7700</v>
      </c>
      <c r="J75" s="24">
        <f t="shared" si="3"/>
        <v>11198.2</v>
      </c>
      <c r="K75" s="27">
        <f t="shared" si="4"/>
        <v>11200</v>
      </c>
      <c r="L75" s="24">
        <f t="shared" si="5"/>
        <v>20650</v>
      </c>
      <c r="M75" s="29">
        <f t="shared" si="6"/>
        <v>20700</v>
      </c>
    </row>
    <row r="76" ht="22.5" customHeight="1">
      <c r="A76" s="16"/>
      <c r="B76" s="17" t="s">
        <v>238</v>
      </c>
      <c r="C76" s="17" t="s">
        <v>238</v>
      </c>
      <c r="D76" s="34" t="s">
        <v>267</v>
      </c>
      <c r="E76" s="19" t="s">
        <v>239</v>
      </c>
      <c r="F76" s="20">
        <v>1.0</v>
      </c>
      <c r="G76" s="21">
        <v>5900.0</v>
      </c>
      <c r="H76" s="21">
        <f t="shared" si="1"/>
        <v>7670</v>
      </c>
      <c r="I76" s="22">
        <f t="shared" si="2"/>
        <v>7700</v>
      </c>
      <c r="J76" s="24">
        <f t="shared" si="3"/>
        <v>11198.2</v>
      </c>
      <c r="K76" s="27">
        <f t="shared" si="4"/>
        <v>11200</v>
      </c>
      <c r="L76" s="24">
        <f t="shared" si="5"/>
        <v>20650</v>
      </c>
      <c r="M76" s="29">
        <f t="shared" si="6"/>
        <v>20700</v>
      </c>
    </row>
    <row r="77" ht="22.5" customHeight="1">
      <c r="A77" s="16"/>
      <c r="B77" s="17" t="s">
        <v>240</v>
      </c>
      <c r="C77" s="17" t="s">
        <v>240</v>
      </c>
      <c r="D77" s="34" t="s">
        <v>267</v>
      </c>
      <c r="E77" s="19" t="s">
        <v>241</v>
      </c>
      <c r="F77" s="20">
        <v>1.0</v>
      </c>
      <c r="G77" s="21">
        <v>5900.0</v>
      </c>
      <c r="H77" s="21">
        <f t="shared" si="1"/>
        <v>7670</v>
      </c>
      <c r="I77" s="22">
        <f t="shared" si="2"/>
        <v>7700</v>
      </c>
      <c r="J77" s="24">
        <f t="shared" si="3"/>
        <v>11198.2</v>
      </c>
      <c r="K77" s="27">
        <f t="shared" si="4"/>
        <v>11200</v>
      </c>
      <c r="L77" s="24">
        <f t="shared" si="5"/>
        <v>20650</v>
      </c>
      <c r="M77" s="29">
        <f t="shared" si="6"/>
        <v>20700</v>
      </c>
    </row>
    <row r="78" ht="22.5" customHeight="1">
      <c r="A78" s="16"/>
      <c r="B78" s="17" t="s">
        <v>242</v>
      </c>
      <c r="C78" s="17" t="s">
        <v>242</v>
      </c>
      <c r="D78" s="34" t="s">
        <v>267</v>
      </c>
      <c r="E78" s="19" t="s">
        <v>243</v>
      </c>
      <c r="F78" s="20">
        <v>1.0</v>
      </c>
      <c r="G78" s="21">
        <v>5900.0</v>
      </c>
      <c r="H78" s="21">
        <f t="shared" si="1"/>
        <v>7670</v>
      </c>
      <c r="I78" s="22">
        <f t="shared" si="2"/>
        <v>7700</v>
      </c>
      <c r="J78" s="24">
        <f t="shared" si="3"/>
        <v>11198.2</v>
      </c>
      <c r="K78" s="27">
        <f t="shared" si="4"/>
        <v>11200</v>
      </c>
      <c r="L78" s="24">
        <f t="shared" si="5"/>
        <v>20650</v>
      </c>
      <c r="M78" s="29">
        <f t="shared" si="6"/>
        <v>20700</v>
      </c>
    </row>
    <row r="79" ht="22.5" customHeight="1">
      <c r="A79" s="16"/>
      <c r="B79" s="17" t="s">
        <v>244</v>
      </c>
      <c r="C79" s="17" t="s">
        <v>244</v>
      </c>
      <c r="D79" s="34" t="s">
        <v>267</v>
      </c>
      <c r="E79" s="19" t="s">
        <v>245</v>
      </c>
      <c r="F79" s="20">
        <v>1.0</v>
      </c>
      <c r="G79" s="21">
        <v>5900.0</v>
      </c>
      <c r="H79" s="21">
        <f t="shared" si="1"/>
        <v>7670</v>
      </c>
      <c r="I79" s="22">
        <f t="shared" si="2"/>
        <v>7700</v>
      </c>
      <c r="J79" s="24">
        <f t="shared" si="3"/>
        <v>11198.2</v>
      </c>
      <c r="K79" s="27">
        <f t="shared" si="4"/>
        <v>11200</v>
      </c>
      <c r="L79" s="24">
        <f t="shared" si="5"/>
        <v>20650</v>
      </c>
      <c r="M79" s="29">
        <f t="shared" si="6"/>
        <v>20700</v>
      </c>
    </row>
    <row r="80" ht="22.5" customHeight="1">
      <c r="A80" s="16"/>
      <c r="B80" s="17" t="s">
        <v>246</v>
      </c>
      <c r="C80" s="17" t="s">
        <v>246</v>
      </c>
      <c r="D80" s="34" t="s">
        <v>267</v>
      </c>
      <c r="E80" s="19" t="s">
        <v>247</v>
      </c>
      <c r="F80" s="20">
        <v>1.0</v>
      </c>
      <c r="G80" s="21">
        <v>14000.0</v>
      </c>
      <c r="H80" s="21">
        <f t="shared" si="1"/>
        <v>18200</v>
      </c>
      <c r="I80" s="22">
        <f t="shared" si="2"/>
        <v>18200</v>
      </c>
      <c r="J80" s="24">
        <f t="shared" si="3"/>
        <v>26572</v>
      </c>
      <c r="K80" s="27">
        <f t="shared" si="4"/>
        <v>26600</v>
      </c>
      <c r="L80" s="24">
        <f t="shared" si="5"/>
        <v>49000</v>
      </c>
      <c r="M80" s="29">
        <f t="shared" si="6"/>
        <v>49000</v>
      </c>
    </row>
    <row r="81" ht="22.5" customHeight="1">
      <c r="A81" s="16"/>
      <c r="B81" s="17" t="s">
        <v>248</v>
      </c>
      <c r="C81" s="17" t="s">
        <v>248</v>
      </c>
      <c r="D81" s="34" t="s">
        <v>267</v>
      </c>
      <c r="E81" s="19" t="s">
        <v>249</v>
      </c>
      <c r="F81" s="20">
        <v>1.0</v>
      </c>
      <c r="G81" s="21">
        <v>15800.0</v>
      </c>
      <c r="H81" s="21">
        <f t="shared" si="1"/>
        <v>20540</v>
      </c>
      <c r="I81" s="22">
        <f t="shared" si="2"/>
        <v>20500</v>
      </c>
      <c r="J81" s="24">
        <f t="shared" si="3"/>
        <v>29988.4</v>
      </c>
      <c r="K81" s="27">
        <f t="shared" si="4"/>
        <v>30000</v>
      </c>
      <c r="L81" s="24">
        <f t="shared" si="5"/>
        <v>55300</v>
      </c>
      <c r="M81" s="29">
        <f t="shared" si="6"/>
        <v>55300</v>
      </c>
    </row>
    <row r="82" ht="22.5" customHeight="1">
      <c r="A82" s="16"/>
      <c r="B82" s="17" t="s">
        <v>250</v>
      </c>
      <c r="C82" s="17" t="s">
        <v>250</v>
      </c>
      <c r="D82" s="34" t="s">
        <v>267</v>
      </c>
      <c r="E82" s="19" t="s">
        <v>251</v>
      </c>
      <c r="F82" s="20">
        <v>1.0</v>
      </c>
      <c r="G82" s="21">
        <v>19000.0</v>
      </c>
      <c r="H82" s="21">
        <f t="shared" si="1"/>
        <v>24700</v>
      </c>
      <c r="I82" s="22">
        <f t="shared" si="2"/>
        <v>24700</v>
      </c>
      <c r="J82" s="24">
        <f t="shared" si="3"/>
        <v>36062</v>
      </c>
      <c r="K82" s="27">
        <f t="shared" si="4"/>
        <v>36100</v>
      </c>
      <c r="L82" s="24">
        <f t="shared" si="5"/>
        <v>66500</v>
      </c>
      <c r="M82" s="29">
        <f t="shared" si="6"/>
        <v>66500</v>
      </c>
    </row>
    <row r="83" ht="22.5" customHeight="1">
      <c r="A83" s="16"/>
      <c r="B83" s="17" t="s">
        <v>252</v>
      </c>
      <c r="C83" s="17" t="s">
        <v>252</v>
      </c>
      <c r="D83" s="34" t="s">
        <v>267</v>
      </c>
      <c r="E83" s="17" t="s">
        <v>253</v>
      </c>
      <c r="F83" s="35">
        <v>1.0</v>
      </c>
      <c r="G83" s="36">
        <v>20500.0</v>
      </c>
      <c r="H83" s="36">
        <f t="shared" si="1"/>
        <v>26650</v>
      </c>
      <c r="I83" s="22">
        <f t="shared" si="2"/>
        <v>26700</v>
      </c>
      <c r="J83" s="24">
        <f t="shared" si="3"/>
        <v>38909</v>
      </c>
      <c r="K83" s="27">
        <f t="shared" si="4"/>
        <v>38900</v>
      </c>
      <c r="L83" s="24">
        <f t="shared" si="5"/>
        <v>71750</v>
      </c>
      <c r="M83" s="29">
        <f t="shared" si="6"/>
        <v>71800</v>
      </c>
    </row>
    <row r="84">
      <c r="H84" s="38"/>
    </row>
    <row r="85">
      <c r="H85" s="38"/>
    </row>
    <row r="86">
      <c r="H86" s="38"/>
    </row>
    <row r="87">
      <c r="H87" s="38"/>
    </row>
    <row r="88">
      <c r="H88" s="38"/>
    </row>
    <row r="89">
      <c r="H89" s="38"/>
    </row>
    <row r="90">
      <c r="H90" s="38"/>
    </row>
    <row r="91">
      <c r="H91" s="38"/>
    </row>
    <row r="92">
      <c r="H92" s="38"/>
    </row>
    <row r="93">
      <c r="H93" s="38"/>
    </row>
    <row r="94">
      <c r="H94" s="38"/>
    </row>
    <row r="95">
      <c r="H95" s="38"/>
    </row>
    <row r="96">
      <c r="H96" s="38"/>
    </row>
    <row r="97">
      <c r="H97" s="38"/>
    </row>
    <row r="98">
      <c r="H98" s="38"/>
    </row>
    <row r="99">
      <c r="H99" s="38"/>
    </row>
    <row r="100">
      <c r="H100" s="38"/>
    </row>
    <row r="101">
      <c r="H101" s="38"/>
    </row>
    <row r="102">
      <c r="H102" s="38"/>
    </row>
    <row r="103">
      <c r="H103" s="38"/>
    </row>
    <row r="104">
      <c r="H104" s="38"/>
    </row>
    <row r="105">
      <c r="H105" s="38"/>
    </row>
    <row r="106">
      <c r="H106" s="38"/>
    </row>
    <row r="107">
      <c r="H107" s="38"/>
    </row>
    <row r="108">
      <c r="H108" s="38"/>
    </row>
    <row r="109">
      <c r="H109" s="38"/>
    </row>
    <row r="110">
      <c r="H110" s="38"/>
    </row>
    <row r="111">
      <c r="H111" s="38"/>
    </row>
    <row r="112">
      <c r="H112" s="38"/>
    </row>
    <row r="113">
      <c r="H113" s="38"/>
    </row>
    <row r="114">
      <c r="H114" s="38"/>
    </row>
  </sheetData>
  <dataValidations>
    <dataValidation type="custom" allowBlank="1" showDropDown="1" sqref="F2:G83">
      <formula1>AND(ISNUMBER(F2),(NOT(OR(NOT(ISERROR(DATEVALUE(F2))), AND(ISNUMBER(F2), LEFT(CELL("format", F2))="D")))))</formula1>
    </dataValidation>
    <dataValidation type="list" allowBlank="1" showDropDown="1" showErrorMessage="1" sqref="D2:D83">
      <formula1>"ANILLOS,AROS,DIJES"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20.38"/>
    <col customWidth="1" min="3" max="3" width="44.25"/>
    <col customWidth="1" min="4" max="4" width="9.38"/>
  </cols>
  <sheetData>
    <row r="2">
      <c r="B2" s="2" t="s">
        <v>1</v>
      </c>
    </row>
    <row r="4">
      <c r="A4" s="4" t="s">
        <v>3</v>
      </c>
      <c r="B4" s="4" t="s">
        <v>5</v>
      </c>
      <c r="C4" s="4" t="s">
        <v>4</v>
      </c>
      <c r="D4" s="4" t="s">
        <v>2</v>
      </c>
    </row>
    <row r="5" ht="75.0" customHeight="1">
      <c r="A5" s="6"/>
      <c r="B5" s="2" t="s">
        <v>7</v>
      </c>
      <c r="C5" s="2" t="s">
        <v>8</v>
      </c>
      <c r="D5" s="7">
        <v>15600.0</v>
      </c>
    </row>
    <row r="6" ht="75.0" customHeight="1">
      <c r="A6" s="6"/>
      <c r="B6" s="2" t="s">
        <v>9</v>
      </c>
      <c r="C6" s="2" t="s">
        <v>10</v>
      </c>
      <c r="D6" s="7">
        <v>20020.0</v>
      </c>
    </row>
    <row r="7" ht="75.0" customHeight="1">
      <c r="A7" s="6"/>
      <c r="B7" s="2" t="s">
        <v>11</v>
      </c>
      <c r="C7" s="2" t="s">
        <v>13</v>
      </c>
      <c r="D7" s="7">
        <v>38870.0</v>
      </c>
    </row>
    <row r="8" ht="75.0" customHeight="1">
      <c r="A8" s="6"/>
      <c r="B8" s="2" t="s">
        <v>14</v>
      </c>
      <c r="C8" s="2" t="s">
        <v>16</v>
      </c>
      <c r="D8" s="7">
        <v>33150.0</v>
      </c>
    </row>
    <row r="9" ht="75.0" customHeight="1">
      <c r="A9" s="6"/>
      <c r="B9" s="2" t="s">
        <v>18</v>
      </c>
      <c r="C9" s="2" t="s">
        <v>19</v>
      </c>
      <c r="D9" s="7">
        <v>31200.0</v>
      </c>
    </row>
    <row r="10" ht="75.0" customHeight="1">
      <c r="A10" s="6"/>
      <c r="B10" s="2" t="s">
        <v>20</v>
      </c>
      <c r="C10" s="2" t="s">
        <v>22</v>
      </c>
      <c r="D10" s="7">
        <v>21450.0</v>
      </c>
    </row>
    <row r="11" ht="75.0" customHeight="1">
      <c r="A11" s="6"/>
      <c r="B11" s="2" t="s">
        <v>23</v>
      </c>
      <c r="C11" s="2" t="s">
        <v>25</v>
      </c>
      <c r="D11" s="7">
        <v>10790.0</v>
      </c>
    </row>
    <row r="12" ht="75.0" customHeight="1">
      <c r="A12" s="6"/>
      <c r="B12" s="2" t="s">
        <v>26</v>
      </c>
      <c r="C12" s="2" t="s">
        <v>28</v>
      </c>
      <c r="D12" s="7">
        <v>18200.0</v>
      </c>
    </row>
    <row r="13" ht="75.0" customHeight="1">
      <c r="A13" s="6"/>
      <c r="B13" s="2" t="s">
        <v>30</v>
      </c>
      <c r="C13" s="2" t="s">
        <v>31</v>
      </c>
      <c r="D13" s="7">
        <v>18850.0</v>
      </c>
    </row>
    <row r="14" ht="75.0" customHeight="1">
      <c r="A14" s="6"/>
      <c r="B14" s="2" t="s">
        <v>33</v>
      </c>
      <c r="C14" s="2" t="s">
        <v>34</v>
      </c>
      <c r="D14" s="7">
        <v>19370.0</v>
      </c>
    </row>
    <row r="15" ht="75.0" customHeight="1">
      <c r="A15" s="6"/>
      <c r="B15" s="2" t="s">
        <v>35</v>
      </c>
      <c r="C15" s="2" t="s">
        <v>37</v>
      </c>
      <c r="D15" s="7">
        <v>40690.0</v>
      </c>
    </row>
    <row r="16" ht="75.0" customHeight="1">
      <c r="A16" s="6"/>
      <c r="B16" s="2" t="s">
        <v>40</v>
      </c>
      <c r="C16" s="2" t="s">
        <v>41</v>
      </c>
      <c r="D16" s="7">
        <v>21190.0</v>
      </c>
    </row>
    <row r="17" ht="75.0" customHeight="1">
      <c r="A17" s="6"/>
      <c r="B17" s="2" t="s">
        <v>44</v>
      </c>
      <c r="C17" s="2" t="s">
        <v>46</v>
      </c>
      <c r="D17" s="7">
        <v>15860.0</v>
      </c>
    </row>
    <row r="18" ht="75.0" customHeight="1">
      <c r="A18" s="6"/>
      <c r="B18" s="2" t="s">
        <v>48</v>
      </c>
      <c r="C18" s="2" t="s">
        <v>49</v>
      </c>
      <c r="D18" s="7">
        <v>35230.0</v>
      </c>
    </row>
    <row r="19" ht="75.0" customHeight="1">
      <c r="A19" s="6"/>
      <c r="B19" s="2" t="s">
        <v>50</v>
      </c>
      <c r="C19" s="2" t="s">
        <v>51</v>
      </c>
      <c r="D19" s="7">
        <v>39000.0</v>
      </c>
    </row>
    <row r="20" ht="75.0" customHeight="1">
      <c r="A20" s="6"/>
      <c r="B20" s="2" t="s">
        <v>52</v>
      </c>
      <c r="C20" s="2" t="s">
        <v>53</v>
      </c>
      <c r="D20" s="7">
        <v>20670.0</v>
      </c>
    </row>
    <row r="21" ht="75.0" customHeight="1">
      <c r="A21" s="6"/>
      <c r="B21" s="2" t="s">
        <v>54</v>
      </c>
      <c r="C21" s="2" t="s">
        <v>55</v>
      </c>
      <c r="D21" s="7">
        <v>25350.0</v>
      </c>
    </row>
    <row r="22" ht="75.0" customHeight="1">
      <c r="A22" s="6"/>
      <c r="B22" s="2" t="s">
        <v>58</v>
      </c>
      <c r="C22" s="2" t="s">
        <v>59</v>
      </c>
      <c r="D22" s="7">
        <v>25870.0</v>
      </c>
    </row>
    <row r="23" ht="75.0" customHeight="1">
      <c r="A23" s="6"/>
      <c r="B23" s="2" t="s">
        <v>61</v>
      </c>
      <c r="C23" s="2" t="s">
        <v>62</v>
      </c>
      <c r="D23" s="7">
        <v>40820.0</v>
      </c>
    </row>
    <row r="24" ht="75.0" customHeight="1">
      <c r="A24" s="6"/>
      <c r="B24" s="2" t="s">
        <v>63</v>
      </c>
      <c r="C24" s="2" t="s">
        <v>64</v>
      </c>
      <c r="D24" s="7">
        <v>34450.0</v>
      </c>
    </row>
    <row r="25" ht="75.0" customHeight="1">
      <c r="A25" s="6"/>
      <c r="B25" s="2" t="s">
        <v>65</v>
      </c>
      <c r="C25" s="2" t="s">
        <v>66</v>
      </c>
      <c r="D25" s="7">
        <v>29510.0</v>
      </c>
    </row>
    <row r="26" ht="75.0" customHeight="1">
      <c r="A26" s="6"/>
      <c r="B26" s="2" t="s">
        <v>68</v>
      </c>
      <c r="C26" s="2" t="s">
        <v>69</v>
      </c>
      <c r="D26" s="7">
        <v>10790.0</v>
      </c>
    </row>
    <row r="27" ht="75.0" customHeight="1">
      <c r="A27" s="6"/>
      <c r="B27" s="2" t="s">
        <v>71</v>
      </c>
      <c r="C27" s="2" t="s">
        <v>10</v>
      </c>
      <c r="D27" s="7">
        <v>33800.0</v>
      </c>
    </row>
    <row r="28" ht="75.0" customHeight="1">
      <c r="A28" s="6"/>
      <c r="B28" s="2" t="s">
        <v>72</v>
      </c>
      <c r="C28" s="2" t="s">
        <v>73</v>
      </c>
      <c r="D28" s="7">
        <v>27300.0</v>
      </c>
    </row>
    <row r="29" ht="75.0" customHeight="1">
      <c r="A29" s="6"/>
      <c r="B29" s="2" t="s">
        <v>74</v>
      </c>
      <c r="C29" s="2" t="s">
        <v>75</v>
      </c>
      <c r="D29" s="7">
        <v>32110.0</v>
      </c>
    </row>
    <row r="30" ht="75.0" customHeight="1">
      <c r="A30" s="6"/>
      <c r="B30" s="2" t="s">
        <v>76</v>
      </c>
      <c r="C30" s="2" t="s">
        <v>77</v>
      </c>
      <c r="D30" s="7">
        <v>22230.0</v>
      </c>
    </row>
    <row r="31" ht="75.0" customHeight="1">
      <c r="A31" s="6"/>
      <c r="B31" s="2" t="s">
        <v>79</v>
      </c>
      <c r="C31" s="2" t="s">
        <v>80</v>
      </c>
      <c r="D31" s="7">
        <v>43420.0</v>
      </c>
    </row>
    <row r="32" ht="75.0" customHeight="1">
      <c r="A32" s="6"/>
      <c r="B32" s="2" t="s">
        <v>81</v>
      </c>
      <c r="C32" s="2" t="s">
        <v>82</v>
      </c>
      <c r="D32" s="7">
        <v>32110.0</v>
      </c>
    </row>
    <row r="33" ht="75.0" customHeight="1">
      <c r="A33" s="6"/>
      <c r="B33" s="2" t="s">
        <v>83</v>
      </c>
      <c r="C33" s="2" t="s">
        <v>84</v>
      </c>
      <c r="D33" s="7">
        <v>23920.0</v>
      </c>
    </row>
    <row r="34" ht="75.0" customHeight="1">
      <c r="A34" s="6"/>
      <c r="B34" s="2" t="s">
        <v>85</v>
      </c>
      <c r="C34" s="2" t="s">
        <v>86</v>
      </c>
      <c r="D34" s="7">
        <v>44200.0</v>
      </c>
    </row>
    <row r="35" ht="75.0" customHeight="1">
      <c r="A35" s="6"/>
      <c r="B35" s="2" t="s">
        <v>87</v>
      </c>
      <c r="C35" s="2" t="s">
        <v>88</v>
      </c>
      <c r="D35" s="7">
        <v>33800.0</v>
      </c>
    </row>
    <row r="36" ht="75.0" customHeight="1">
      <c r="A36" s="6"/>
      <c r="B36" s="2" t="s">
        <v>90</v>
      </c>
      <c r="C36" s="2" t="s">
        <v>91</v>
      </c>
      <c r="D36" s="7">
        <v>35490.0</v>
      </c>
    </row>
    <row r="37" ht="75.0" customHeight="1">
      <c r="A37" s="6"/>
      <c r="B37" s="2" t="s">
        <v>92</v>
      </c>
      <c r="C37" s="2" t="s">
        <v>93</v>
      </c>
      <c r="D37" s="7">
        <v>8970.0</v>
      </c>
    </row>
    <row r="38" ht="75.0" customHeight="1">
      <c r="A38" s="6"/>
      <c r="B38" s="2" t="s">
        <v>94</v>
      </c>
      <c r="C38" s="2" t="s">
        <v>95</v>
      </c>
      <c r="D38" s="7">
        <v>5720.0</v>
      </c>
    </row>
    <row r="39" ht="75.0" customHeight="1">
      <c r="A39" s="6"/>
      <c r="B39" s="2" t="s">
        <v>96</v>
      </c>
      <c r="C39" s="2" t="s">
        <v>97</v>
      </c>
      <c r="D39" s="7">
        <v>9750.0</v>
      </c>
    </row>
    <row r="40" ht="75.0" customHeight="1">
      <c r="A40" s="6"/>
      <c r="B40" s="2" t="s">
        <v>99</v>
      </c>
      <c r="C40" s="2" t="s">
        <v>100</v>
      </c>
      <c r="D40" s="7">
        <v>11960.0</v>
      </c>
    </row>
    <row r="41" ht="75.0" customHeight="1">
      <c r="A41" s="23"/>
      <c r="B41" s="25"/>
      <c r="C41" s="25"/>
      <c r="D41" s="26"/>
    </row>
    <row r="42" ht="75.0" customHeight="1">
      <c r="A42" s="23"/>
      <c r="B42" s="25"/>
      <c r="C42" s="25"/>
      <c r="D42" s="26"/>
    </row>
    <row r="43" ht="75.0" customHeight="1">
      <c r="A43" s="23"/>
      <c r="B43" s="25"/>
      <c r="C43" s="25"/>
      <c r="D43" s="26"/>
    </row>
    <row r="44" ht="75.0" customHeight="1">
      <c r="A44" s="23"/>
      <c r="B44" s="25"/>
      <c r="C44" s="25"/>
      <c r="D44" s="26"/>
    </row>
    <row r="45" ht="75.0" customHeight="1">
      <c r="A45" s="23"/>
      <c r="B45" s="25"/>
      <c r="C45" s="25"/>
      <c r="D45" s="26"/>
    </row>
    <row r="46" ht="75.0" customHeight="1">
      <c r="A46" s="23"/>
      <c r="B46" s="25"/>
      <c r="C46" s="25"/>
      <c r="D46" s="26"/>
    </row>
    <row r="47" ht="75.0" customHeight="1">
      <c r="A47" s="23"/>
      <c r="B47" s="25"/>
      <c r="C47" s="25"/>
      <c r="D47" s="26"/>
    </row>
    <row r="48" ht="75.0" customHeight="1">
      <c r="A48" s="23"/>
      <c r="B48" s="25"/>
      <c r="C48" s="25"/>
      <c r="D48" s="26"/>
    </row>
    <row r="49" ht="75.0" customHeight="1">
      <c r="A49" s="23"/>
      <c r="B49" s="25"/>
      <c r="C49" s="25"/>
      <c r="D49" s="26"/>
    </row>
    <row r="50" ht="75.0" customHeight="1">
      <c r="A50" s="23"/>
      <c r="B50" s="25"/>
      <c r="C50" s="25"/>
      <c r="D50" s="26"/>
    </row>
    <row r="51" ht="75.0" customHeight="1">
      <c r="A51" s="23"/>
      <c r="B51" s="25"/>
      <c r="C51" s="25"/>
      <c r="D51" s="26"/>
    </row>
    <row r="52" ht="75.0" customHeight="1">
      <c r="A52" s="23"/>
      <c r="B52" s="25"/>
      <c r="C52" s="25"/>
      <c r="D52" s="26"/>
    </row>
    <row r="53" ht="75.0" customHeight="1">
      <c r="A53" s="23"/>
      <c r="B53" s="25"/>
      <c r="C53" s="25"/>
      <c r="D53" s="26"/>
    </row>
    <row r="54" ht="75.0" customHeight="1">
      <c r="A54" s="23"/>
      <c r="B54" s="25"/>
      <c r="C54" s="25"/>
      <c r="D54" s="26"/>
    </row>
    <row r="55" ht="75.0" customHeight="1">
      <c r="A55" s="23"/>
      <c r="B55" s="25"/>
      <c r="C55" s="25"/>
      <c r="D55" s="26"/>
    </row>
    <row r="56" ht="75.0" customHeight="1">
      <c r="A56" s="23"/>
      <c r="B56" s="25"/>
      <c r="C56" s="25"/>
      <c r="D56" s="26"/>
    </row>
    <row r="57" ht="75.0" customHeight="1">
      <c r="A57" s="23"/>
      <c r="B57" s="25"/>
      <c r="C57" s="25"/>
      <c r="D57" s="26"/>
    </row>
    <row r="58" ht="75.0" customHeight="1">
      <c r="A58" s="23"/>
      <c r="B58" s="25"/>
      <c r="C58" s="25"/>
      <c r="D58" s="26"/>
    </row>
    <row r="59" ht="75.0" customHeight="1">
      <c r="A59" s="23"/>
      <c r="B59" s="25"/>
      <c r="C59" s="25"/>
      <c r="D59" s="26"/>
    </row>
    <row r="60" ht="75.0" customHeight="1">
      <c r="A60" s="23"/>
      <c r="B60" s="25"/>
      <c r="C60" s="25"/>
      <c r="D60" s="26"/>
    </row>
    <row r="61" ht="75.0" customHeight="1">
      <c r="A61" s="26"/>
      <c r="B61" s="33"/>
      <c r="C61" s="33"/>
      <c r="D61" s="26"/>
    </row>
    <row r="62" ht="75.0" customHeight="1">
      <c r="A62" s="26"/>
      <c r="B62" s="33"/>
      <c r="C62" s="33"/>
      <c r="D62" s="26"/>
    </row>
    <row r="63" ht="75.0" customHeight="1">
      <c r="A63" s="26"/>
      <c r="B63" s="33"/>
      <c r="C63" s="33"/>
      <c r="D63" s="26"/>
    </row>
    <row r="64" ht="75.0" customHeight="1">
      <c r="A64" s="26"/>
      <c r="B64" s="33"/>
      <c r="C64" s="33"/>
      <c r="D64" s="26"/>
    </row>
    <row r="65" ht="75.0" customHeight="1">
      <c r="A65" s="26"/>
      <c r="B65" s="33"/>
      <c r="C65" s="33"/>
      <c r="D65" s="26"/>
    </row>
    <row r="66" ht="75.0" customHeight="1">
      <c r="A66" s="26"/>
      <c r="B66" s="33"/>
      <c r="C66" s="33"/>
      <c r="D66" s="26"/>
    </row>
    <row r="67" ht="75.0" customHeight="1">
      <c r="A67" s="26"/>
      <c r="B67" s="33"/>
      <c r="C67" s="33"/>
      <c r="D67" s="26"/>
    </row>
    <row r="68" ht="75.0" customHeight="1">
      <c r="A68" s="26"/>
      <c r="B68" s="33"/>
      <c r="C68" s="33"/>
      <c r="D68" s="26"/>
    </row>
    <row r="69" ht="75.0" customHeight="1">
      <c r="A69" s="26"/>
      <c r="B69" s="33"/>
      <c r="C69" s="33"/>
      <c r="D69" s="26"/>
    </row>
    <row r="70" ht="75.0" customHeight="1">
      <c r="A70" s="26"/>
      <c r="B70" s="33"/>
      <c r="C70" s="33"/>
      <c r="D70" s="26"/>
    </row>
    <row r="71" ht="75.0" customHeight="1">
      <c r="A71" s="26"/>
      <c r="B71" s="33"/>
      <c r="C71" s="33"/>
      <c r="D71" s="26"/>
    </row>
    <row r="72" ht="75.0" customHeight="1">
      <c r="A72" s="26"/>
      <c r="B72" s="33"/>
      <c r="C72" s="33"/>
      <c r="D72" s="26"/>
    </row>
    <row r="73" ht="75.0" customHeight="1">
      <c r="A73" s="26"/>
      <c r="B73" s="33"/>
      <c r="C73" s="33"/>
      <c r="D73" s="26"/>
    </row>
    <row r="74" ht="75.0" customHeight="1">
      <c r="A74" s="26"/>
      <c r="B74" s="33"/>
      <c r="C74" s="33"/>
      <c r="D74" s="26"/>
    </row>
    <row r="75" ht="75.0" customHeight="1">
      <c r="A75" s="26"/>
      <c r="B75" s="33"/>
      <c r="C75" s="33"/>
      <c r="D75" s="26"/>
    </row>
    <row r="76" ht="75.0" customHeight="1">
      <c r="A76" s="26"/>
      <c r="B76" s="33"/>
      <c r="C76" s="33"/>
      <c r="D76" s="26"/>
    </row>
    <row r="77" ht="75.0" customHeight="1">
      <c r="A77" s="26"/>
      <c r="B77" s="33"/>
      <c r="C77" s="33"/>
      <c r="D77" s="26"/>
    </row>
    <row r="78" ht="75.0" customHeight="1">
      <c r="A78" s="26"/>
      <c r="B78" s="33"/>
      <c r="C78" s="33"/>
      <c r="D78" s="26"/>
    </row>
    <row r="79" ht="75.0" customHeight="1">
      <c r="A79" s="26"/>
      <c r="B79" s="33"/>
      <c r="C79" s="33"/>
      <c r="D79" s="33"/>
    </row>
    <row r="80" ht="75.0" customHeight="1">
      <c r="A80" s="26"/>
      <c r="B80" s="33"/>
      <c r="C80" s="33"/>
      <c r="D80" s="33"/>
    </row>
  </sheetData>
  <dataValidations>
    <dataValidation type="list" allowBlank="1" showErrorMessage="1" sqref="B2">
      <formula1>"Pulseras,Anillos,Aros,Cadenas,Dijes"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63"/>
  </cols>
  <sheetData>
    <row r="1">
      <c r="A1" s="1" t="s">
        <v>0</v>
      </c>
      <c r="B1" s="3" t="s">
        <v>2</v>
      </c>
      <c r="C1" s="1" t="s">
        <v>4</v>
      </c>
    </row>
    <row r="2">
      <c r="A2" s="5" t="s">
        <v>6</v>
      </c>
      <c r="B2" s="13">
        <f>VLOOKUP(A2,Tabla_1[[PRODUCTO]:[REDONDEO MAYORISTA]],8,FALSE)</f>
        <v>15600</v>
      </c>
      <c r="C2" s="14" t="s">
        <v>38</v>
      </c>
    </row>
    <row r="3">
      <c r="A3" s="5" t="s">
        <v>43</v>
      </c>
      <c r="B3" s="13">
        <f>VLOOKUP(A3,Tabla_1[[PRODUCTO]:[REDONDEO MAYORISTA]],8,FALSE)</f>
        <v>20000</v>
      </c>
      <c r="C3" s="14" t="s">
        <v>57</v>
      </c>
    </row>
    <row r="4">
      <c r="A4" s="5" t="s">
        <v>60</v>
      </c>
      <c r="B4" s="13">
        <f>VLOOKUP(A4,Tabla_1[[PRODUCTO]:[REDONDEO MAYORISTA]],8,FALSE)</f>
        <v>33800</v>
      </c>
      <c r="C4" s="14" t="s">
        <v>67</v>
      </c>
    </row>
    <row r="5">
      <c r="A5" s="5" t="s">
        <v>70</v>
      </c>
      <c r="B5" s="13">
        <f>VLOOKUP(A5,Tabla_1[[PRODUCTO]:[REDONDEO MAYORISTA]],8,FALSE)</f>
        <v>22200</v>
      </c>
      <c r="C5" s="14" t="s">
        <v>78</v>
      </c>
    </row>
    <row r="6">
      <c r="A6" s="5" t="s">
        <v>89</v>
      </c>
      <c r="B6" s="13">
        <f>VLOOKUP(A6,Tabla_1[[PRODUCTO]:[REDONDEO MAYORISTA]],8,FALSE)</f>
        <v>32100</v>
      </c>
      <c r="C6" s="14" t="s">
        <v>98</v>
      </c>
    </row>
    <row r="7">
      <c r="A7" s="5" t="s">
        <v>101</v>
      </c>
      <c r="B7" s="13">
        <f>VLOOKUP(A7,Tabla_1[[PRODUCTO]:[REDONDEO MAYORISTA]],8,FALSE)</f>
        <v>32100</v>
      </c>
      <c r="C7" s="14" t="s">
        <v>102</v>
      </c>
    </row>
    <row r="8">
      <c r="A8" s="5" t="s">
        <v>103</v>
      </c>
      <c r="B8" s="13">
        <f>VLOOKUP(A8,Tabla_1[[PRODUCTO]:[REDONDEO MAYORISTA]],8,FALSE)</f>
        <v>25400</v>
      </c>
      <c r="C8" s="5" t="s">
        <v>104</v>
      </c>
    </row>
    <row r="9">
      <c r="A9" s="5" t="s">
        <v>105</v>
      </c>
      <c r="B9" s="13">
        <f>VLOOKUP(A9,Tabla_1[[PRODUCTO]:[REDONDEO MAYORISTA]],8,FALSE)</f>
        <v>23900</v>
      </c>
      <c r="C9" s="5" t="s">
        <v>107</v>
      </c>
    </row>
    <row r="10">
      <c r="A10" s="5" t="s">
        <v>108</v>
      </c>
      <c r="B10" s="13">
        <f>VLOOKUP(A10,Tabla_1[[PRODUCTO]:[REDONDEO MAYORISTA]],8,FALSE)</f>
        <v>34500</v>
      </c>
      <c r="C10" s="5" t="s">
        <v>109</v>
      </c>
    </row>
    <row r="11">
      <c r="A11" s="5" t="s">
        <v>110</v>
      </c>
      <c r="B11" s="13">
        <f>VLOOKUP(A11,Tabla_1[[PRODUCTO]:[REDONDEO MAYORISTA]],8,FALSE)</f>
        <v>27300</v>
      </c>
      <c r="C11" s="5" t="s">
        <v>111</v>
      </c>
    </row>
    <row r="12">
      <c r="A12" s="5" t="s">
        <v>112</v>
      </c>
      <c r="B12" s="13">
        <f>VLOOKUP(A12,Tabla_1[[PRODUCTO]:[REDONDEO MAYORISTA]],8,FALSE)</f>
        <v>10800</v>
      </c>
      <c r="C12" s="5" t="s">
        <v>113</v>
      </c>
    </row>
    <row r="13">
      <c r="A13" s="5" t="s">
        <v>114</v>
      </c>
      <c r="B13" s="13">
        <f>VLOOKUP(A13,Tabla_1[[PRODUCTO]:[REDONDEO MAYORISTA]],8,FALSE)</f>
        <v>10800</v>
      </c>
      <c r="C13" s="5" t="s">
        <v>113</v>
      </c>
    </row>
    <row r="14">
      <c r="A14" s="5" t="s">
        <v>115</v>
      </c>
      <c r="B14" s="13">
        <f>VLOOKUP(A14,Tabla_1[[PRODUCTO]:[REDONDEO MAYORISTA]],8,FALSE)</f>
        <v>38900</v>
      </c>
      <c r="C14" s="5" t="s">
        <v>102</v>
      </c>
    </row>
    <row r="15">
      <c r="A15" s="5" t="s">
        <v>116</v>
      </c>
      <c r="B15" s="13">
        <f>VLOOKUP(A15,Tabla_1[[PRODUCTO]:[REDONDEO MAYORISTA]],8,FALSE)</f>
        <v>44200</v>
      </c>
      <c r="C15" s="5" t="s">
        <v>117</v>
      </c>
    </row>
    <row r="16">
      <c r="A16" s="5" t="s">
        <v>118</v>
      </c>
      <c r="B16" s="13">
        <f>VLOOKUP(A16,Tabla_1[[PRODUCTO]:[REDONDEO MAYORISTA]],8,FALSE)</f>
        <v>33200</v>
      </c>
      <c r="C16" s="5" t="s">
        <v>119</v>
      </c>
    </row>
    <row r="17">
      <c r="A17" s="5" t="s">
        <v>120</v>
      </c>
      <c r="B17" s="13">
        <f>VLOOKUP(A17,Tabla_1[[PRODUCTO]:[REDONDEO MAYORISTA]],8,FALSE)</f>
        <v>35500</v>
      </c>
      <c r="C17" s="5" t="s">
        <v>121</v>
      </c>
    </row>
    <row r="18">
      <c r="A18" s="5" t="s">
        <v>122</v>
      </c>
      <c r="B18" s="13">
        <f>VLOOKUP(A18,Tabla_1[[PRODUCTO]:[REDONDEO MAYORISTA]],8,FALSE)</f>
        <v>15900</v>
      </c>
      <c r="C18" s="5" t="s">
        <v>123</v>
      </c>
    </row>
    <row r="19">
      <c r="A19" s="5" t="s">
        <v>124</v>
      </c>
      <c r="B19" s="13">
        <f>VLOOKUP(A19,Tabla_1[[PRODUCTO]:[REDONDEO MAYORISTA]],8,FALSE)</f>
        <v>40700</v>
      </c>
      <c r="C19" s="5" t="s">
        <v>125</v>
      </c>
    </row>
    <row r="20">
      <c r="A20" s="5" t="s">
        <v>126</v>
      </c>
      <c r="B20" s="13">
        <f>VLOOKUP(A20,Tabla_1[[PRODUCTO]:[REDONDEO MAYORISTA]],8,FALSE)</f>
        <v>21200</v>
      </c>
      <c r="C20" s="5" t="s">
        <v>127</v>
      </c>
    </row>
    <row r="21">
      <c r="A21" s="5" t="s">
        <v>128</v>
      </c>
      <c r="B21" s="13">
        <f>VLOOKUP(A21,Tabla_1[[PRODUCTO]:[REDONDEO MAYORISTA]],8,FALSE)</f>
        <v>21500</v>
      </c>
      <c r="C21" s="5" t="s">
        <v>129</v>
      </c>
    </row>
    <row r="22">
      <c r="A22" s="5" t="s">
        <v>130</v>
      </c>
      <c r="B22" s="13">
        <f>VLOOKUP(A22,Tabla_1[[PRODUCTO]:[REDONDEO MAYORISTA]],8,FALSE)</f>
        <v>25900</v>
      </c>
      <c r="C22" s="5" t="s">
        <v>131</v>
      </c>
    </row>
    <row r="23">
      <c r="A23" s="5" t="s">
        <v>132</v>
      </c>
      <c r="B23" s="13">
        <f>VLOOKUP(A23,Tabla_1[[PRODUCTO]:[REDONDEO MAYORISTA]],8,FALSE)</f>
        <v>29500</v>
      </c>
      <c r="C23" s="5" t="s">
        <v>133</v>
      </c>
    </row>
    <row r="24">
      <c r="A24" s="5" t="s">
        <v>134</v>
      </c>
      <c r="B24" s="13">
        <f>VLOOKUP(A24,Tabla_1[[PRODUCTO]:[REDONDEO MAYORISTA]],8,FALSE)</f>
        <v>39000</v>
      </c>
      <c r="C24" s="5" t="s">
        <v>135</v>
      </c>
    </row>
    <row r="25">
      <c r="A25" s="5" t="s">
        <v>136</v>
      </c>
      <c r="B25" s="13">
        <f>VLOOKUP(A25,Tabla_1[[PRODUCTO]:[REDONDEO MAYORISTA]],8,FALSE)</f>
        <v>43400</v>
      </c>
      <c r="C25" s="5" t="s">
        <v>137</v>
      </c>
    </row>
    <row r="26">
      <c r="A26" s="5" t="s">
        <v>138</v>
      </c>
      <c r="B26" s="13">
        <f>VLOOKUP(A26,Tabla_1[[PRODUCTO]:[REDONDEO MAYORISTA]],8,FALSE)</f>
        <v>18200</v>
      </c>
      <c r="C26" s="5" t="s">
        <v>139</v>
      </c>
    </row>
    <row r="27">
      <c r="A27" s="5" t="s">
        <v>140</v>
      </c>
      <c r="B27" s="13">
        <f>VLOOKUP(A27,Tabla_1[[PRODUCTO]:[REDONDEO MAYORISTA]],8,FALSE)</f>
        <v>20700</v>
      </c>
      <c r="C27" s="5" t="s">
        <v>141</v>
      </c>
    </row>
    <row r="28">
      <c r="A28" s="5" t="s">
        <v>142</v>
      </c>
      <c r="B28" s="13">
        <f>VLOOKUP(A28,Tabla_1[[PRODUCTO]:[REDONDEO MAYORISTA]],8,FALSE)</f>
        <v>33800</v>
      </c>
      <c r="C28" s="5" t="s">
        <v>143</v>
      </c>
    </row>
    <row r="29">
      <c r="A29" s="5" t="s">
        <v>144</v>
      </c>
      <c r="B29" s="13">
        <f>VLOOKUP(A29,Tabla_1[[PRODUCTO]:[REDONDEO MAYORISTA]],8,FALSE)</f>
        <v>40800</v>
      </c>
      <c r="C29" s="5" t="s">
        <v>145</v>
      </c>
    </row>
    <row r="30">
      <c r="A30" s="5" t="s">
        <v>146</v>
      </c>
      <c r="B30" s="13">
        <f>VLOOKUP(A30,Tabla_1[[PRODUCTO]:[REDONDEO MAYORISTA]],8,FALSE)</f>
        <v>31200</v>
      </c>
      <c r="C30" s="5" t="s">
        <v>147</v>
      </c>
    </row>
    <row r="31">
      <c r="A31" s="5" t="s">
        <v>148</v>
      </c>
      <c r="B31" s="13">
        <f>VLOOKUP(A31,Tabla_1[[PRODUCTO]:[REDONDEO MAYORISTA]],8,FALSE)</f>
        <v>35200</v>
      </c>
      <c r="C31" s="5" t="s">
        <v>149</v>
      </c>
    </row>
    <row r="32">
      <c r="A32" s="5" t="s">
        <v>150</v>
      </c>
      <c r="B32" s="13">
        <f>VLOOKUP(A32,Tabla_1[[PRODUCTO]:[REDONDEO MAYORISTA]],8,FALSE)</f>
        <v>9000</v>
      </c>
      <c r="C32" s="5" t="s">
        <v>151</v>
      </c>
    </row>
    <row r="33">
      <c r="A33" s="14" t="s">
        <v>152</v>
      </c>
      <c r="B33" s="13">
        <f>VLOOKUP(A33,Tabla_1[[PRODUCTO]:[REDONDEO MAYORISTA]],8,FALSE)</f>
        <v>9000</v>
      </c>
      <c r="C33" s="5" t="s">
        <v>153</v>
      </c>
    </row>
    <row r="34">
      <c r="A34" s="14" t="s">
        <v>154</v>
      </c>
      <c r="B34" s="13">
        <f>VLOOKUP(A34,Tabla_1[[PRODUCTO]:[REDONDEO MAYORISTA]],8,FALSE)</f>
        <v>9000</v>
      </c>
      <c r="C34" s="5" t="s">
        <v>155</v>
      </c>
    </row>
    <row r="35">
      <c r="A35" s="14" t="s">
        <v>156</v>
      </c>
      <c r="B35" s="13">
        <f>VLOOKUP(A35,Tabla_1[[PRODUCTO]:[REDONDEO MAYORISTA]],8,FALSE)</f>
        <v>9000</v>
      </c>
      <c r="C35" s="5" t="s">
        <v>157</v>
      </c>
    </row>
    <row r="36">
      <c r="A36" s="14" t="s">
        <v>158</v>
      </c>
      <c r="B36" s="13">
        <f>VLOOKUP(A36,Tabla_1[[PRODUCTO]:[REDONDEO MAYORISTA]],8,FALSE)</f>
        <v>9000</v>
      </c>
      <c r="C36" s="5" t="s">
        <v>159</v>
      </c>
    </row>
    <row r="37">
      <c r="A37" s="14" t="s">
        <v>160</v>
      </c>
      <c r="B37" s="13">
        <f>VLOOKUP(A37,Tabla_1[[PRODUCTO]:[REDONDEO MAYORISTA]],8,FALSE)</f>
        <v>9000</v>
      </c>
      <c r="C37" s="5" t="s">
        <v>161</v>
      </c>
    </row>
    <row r="38">
      <c r="A38" s="5" t="s">
        <v>162</v>
      </c>
      <c r="B38" s="13">
        <f>VLOOKUP(A38,Tabla_1[[PRODUCTO]:[REDONDEO MAYORISTA]],8,FALSE)</f>
        <v>18900</v>
      </c>
      <c r="C38" s="5" t="s">
        <v>163</v>
      </c>
    </row>
    <row r="39">
      <c r="A39" s="5" t="s">
        <v>164</v>
      </c>
      <c r="B39" s="13">
        <f>VLOOKUP(A39,Tabla_1[[PRODUCTO]:[REDONDEO MAYORISTA]],8,FALSE)</f>
        <v>19400</v>
      </c>
      <c r="C39" s="5" t="s">
        <v>165</v>
      </c>
    </row>
    <row r="40">
      <c r="A40" s="5" t="s">
        <v>166</v>
      </c>
      <c r="B40" s="13">
        <f>VLOOKUP(A40,Tabla_1[[PRODUCTO]:[REDONDEO MAYORISTA]],8,FALSE)</f>
        <v>9800</v>
      </c>
      <c r="C40" s="5" t="s">
        <v>167</v>
      </c>
    </row>
    <row r="41">
      <c r="A41" s="5" t="s">
        <v>168</v>
      </c>
      <c r="B41" s="13">
        <f>VLOOKUP(A41,Tabla_1[[PRODUCTO]:[REDONDEO MAYORISTA]],8,FALSE)</f>
        <v>12000</v>
      </c>
      <c r="C41" s="5" t="s">
        <v>169</v>
      </c>
    </row>
    <row r="42">
      <c r="A42" s="14" t="s">
        <v>170</v>
      </c>
      <c r="B42" s="13">
        <f>VLOOKUP(A42,Tabla_1[[PRODUCTO]:[REDONDEO MAYORISTA]],8,FALSE)</f>
        <v>5700</v>
      </c>
      <c r="C42" s="5" t="s">
        <v>171</v>
      </c>
    </row>
    <row r="43">
      <c r="A43" s="14" t="s">
        <v>172</v>
      </c>
      <c r="B43" s="13">
        <f>VLOOKUP(A43,Tabla_1[[PRODUCTO]:[REDONDEO MAYORISTA]],8,FALSE)</f>
        <v>5700</v>
      </c>
      <c r="C43" s="5" t="s">
        <v>173</v>
      </c>
    </row>
    <row r="44">
      <c r="A44" s="14" t="s">
        <v>174</v>
      </c>
      <c r="B44" s="13">
        <f>VLOOKUP(A44,Tabla_1[[PRODUCTO]:[REDONDEO MAYORISTA]],8,FALSE)</f>
        <v>5700</v>
      </c>
      <c r="C44" s="5" t="s">
        <v>175</v>
      </c>
    </row>
    <row r="45">
      <c r="A45" s="14" t="s">
        <v>176</v>
      </c>
      <c r="B45" s="13">
        <f>VLOOKUP(A45,Tabla_1[[PRODUCTO]:[REDONDEO MAYORISTA]],8,FALSE)</f>
        <v>5700</v>
      </c>
      <c r="C45" s="5" t="s">
        <v>177</v>
      </c>
    </row>
    <row r="46">
      <c r="A46" s="5" t="s">
        <v>178</v>
      </c>
      <c r="B46" s="13">
        <f>VLOOKUP(A46,Tabla_1[[Cod interno]:[REDONDEO MAYORISTA]],7,FALSE)</f>
        <v>25400</v>
      </c>
      <c r="C46" s="14" t="s">
        <v>179</v>
      </c>
    </row>
    <row r="47">
      <c r="A47" s="5" t="s">
        <v>180</v>
      </c>
      <c r="B47" s="13">
        <f>VLOOKUP(A47,Tabla_1[[Cod interno]:[REDONDEO MAYORISTA]],7,FALSE)</f>
        <v>8100</v>
      </c>
      <c r="C47" s="14" t="s">
        <v>181</v>
      </c>
    </row>
    <row r="48">
      <c r="A48" s="5" t="s">
        <v>182</v>
      </c>
      <c r="B48" s="13">
        <f>VLOOKUP(A48,Tabla_1[[Cod interno]:[REDONDEO MAYORISTA]],7,FALSE)</f>
        <v>7700</v>
      </c>
      <c r="C48" s="14" t="s">
        <v>183</v>
      </c>
    </row>
    <row r="49">
      <c r="A49" s="5" t="s">
        <v>184</v>
      </c>
      <c r="B49" s="13">
        <f>VLOOKUP(A49,Tabla_1[[Cod interno]:[REDONDEO MAYORISTA]],7,FALSE)</f>
        <v>5900</v>
      </c>
      <c r="C49" s="14" t="s">
        <v>185</v>
      </c>
    </row>
    <row r="50">
      <c r="A50" s="5" t="s">
        <v>186</v>
      </c>
      <c r="B50" s="13">
        <f>VLOOKUP(A50,Tabla_1[[Cod interno]:[REDONDEO MAYORISTA]],7,FALSE)</f>
        <v>11300</v>
      </c>
      <c r="C50" s="14" t="s">
        <v>187</v>
      </c>
    </row>
    <row r="51">
      <c r="A51" s="5" t="s">
        <v>188</v>
      </c>
      <c r="B51" s="13">
        <f>VLOOKUP(A51,Tabla_1[[Cod interno]:[REDONDEO MAYORISTA]],7,FALSE)</f>
        <v>9900</v>
      </c>
      <c r="C51" s="14" t="s">
        <v>189</v>
      </c>
    </row>
    <row r="52">
      <c r="A52" s="5" t="s">
        <v>190</v>
      </c>
      <c r="B52" s="13">
        <f>VLOOKUP(A52,Tabla_1[[Cod interno]:[REDONDEO MAYORISTA]],7,FALSE)</f>
        <v>12000</v>
      </c>
      <c r="C52" s="14" t="s">
        <v>191</v>
      </c>
    </row>
    <row r="53">
      <c r="A53" s="5" t="s">
        <v>192</v>
      </c>
      <c r="B53" s="13">
        <f>VLOOKUP(A53,Tabla_1[[Cod interno]:[REDONDEO MAYORISTA]],7,FALSE)</f>
        <v>11400</v>
      </c>
      <c r="C53" s="14" t="s">
        <v>193</v>
      </c>
    </row>
    <row r="54">
      <c r="A54" s="5" t="s">
        <v>194</v>
      </c>
      <c r="B54" s="13">
        <f>VLOOKUP(A54,Tabla_1[[Cod interno]:[REDONDEO MAYORISTA]],7,FALSE)</f>
        <v>6400</v>
      </c>
      <c r="C54" s="14" t="s">
        <v>195</v>
      </c>
    </row>
    <row r="55">
      <c r="A55" s="5" t="s">
        <v>196</v>
      </c>
      <c r="B55" s="13">
        <f>VLOOKUP(A55,Tabla_1[[Cod interno]:[REDONDEO MAYORISTA]],7,FALSE)</f>
        <v>6400</v>
      </c>
      <c r="C55" s="14" t="s">
        <v>197</v>
      </c>
    </row>
    <row r="56">
      <c r="A56" s="5" t="s">
        <v>198</v>
      </c>
      <c r="B56" s="13">
        <f>VLOOKUP(A56,Tabla_1[[Cod interno]:[REDONDEO MAYORISTA]],7,FALSE)</f>
        <v>8500</v>
      </c>
      <c r="C56" s="14" t="s">
        <v>199</v>
      </c>
    </row>
    <row r="57">
      <c r="A57" s="5" t="s">
        <v>200</v>
      </c>
      <c r="B57" s="13">
        <f>VLOOKUP(A57,Tabla_1[[Cod interno]:[REDONDEO MAYORISTA]],7,FALSE)</f>
        <v>6400</v>
      </c>
      <c r="C57" s="14" t="s">
        <v>201</v>
      </c>
    </row>
    <row r="58">
      <c r="A58" s="5" t="s">
        <v>202</v>
      </c>
      <c r="B58" s="13">
        <f>VLOOKUP(A58,Tabla_1[[Cod interno]:[REDONDEO MAYORISTA]],7,FALSE)</f>
        <v>6400</v>
      </c>
      <c r="C58" s="14" t="s">
        <v>203</v>
      </c>
    </row>
    <row r="59">
      <c r="A59" s="5" t="s">
        <v>204</v>
      </c>
      <c r="B59" s="13">
        <f>VLOOKUP(A59,Tabla_1[[Cod interno]:[REDONDEO MAYORISTA]],7,FALSE)</f>
        <v>6400</v>
      </c>
      <c r="C59" s="14" t="s">
        <v>205</v>
      </c>
    </row>
    <row r="60">
      <c r="A60" s="5" t="s">
        <v>206</v>
      </c>
      <c r="B60" s="13">
        <f>VLOOKUP(A60,Tabla_1[[Cod interno]:[REDONDEO MAYORISTA]],7,FALSE)</f>
        <v>6400</v>
      </c>
      <c r="C60" s="14" t="s">
        <v>207</v>
      </c>
    </row>
    <row r="61">
      <c r="A61" s="5" t="s">
        <v>208</v>
      </c>
      <c r="B61" s="13">
        <f>VLOOKUP(A61,Tabla_1[[Cod interno]:[REDONDEO MAYORISTA]],7,FALSE)</f>
        <v>6400</v>
      </c>
      <c r="C61" s="14" t="s">
        <v>209</v>
      </c>
    </row>
    <row r="62">
      <c r="A62" s="5" t="s">
        <v>210</v>
      </c>
      <c r="B62" s="13">
        <f>VLOOKUP(A62,Tabla_1[[Cod interno]:[REDONDEO MAYORISTA]],7,FALSE)</f>
        <v>6400</v>
      </c>
      <c r="C62" s="14" t="s">
        <v>211</v>
      </c>
    </row>
    <row r="63">
      <c r="A63" s="5" t="s">
        <v>212</v>
      </c>
      <c r="B63" s="13">
        <f>VLOOKUP(A63,Tabla_1[[Cod interno]:[REDONDEO MAYORISTA]],7,FALSE)</f>
        <v>6400</v>
      </c>
      <c r="C63" s="14" t="s">
        <v>213</v>
      </c>
    </row>
    <row r="64">
      <c r="A64" s="5" t="s">
        <v>214</v>
      </c>
      <c r="B64" s="13">
        <f>VLOOKUP(A64,Tabla_1[[Cod interno]:[REDONDEO MAYORISTA]],7,FALSE)</f>
        <v>6400</v>
      </c>
      <c r="C64" s="14" t="s">
        <v>215</v>
      </c>
    </row>
    <row r="65">
      <c r="A65" s="5" t="s">
        <v>216</v>
      </c>
      <c r="B65" s="13">
        <f>VLOOKUP(A65,Tabla_1[[Cod interno]:[REDONDEO MAYORISTA]],7,FALSE)</f>
        <v>6400</v>
      </c>
      <c r="C65" s="14" t="s">
        <v>217</v>
      </c>
    </row>
    <row r="66">
      <c r="A66" s="5" t="s">
        <v>218</v>
      </c>
      <c r="B66" s="13">
        <f>VLOOKUP(A66,Tabla_1[[Cod interno]:[REDONDEO MAYORISTA]],7,FALSE)</f>
        <v>6400</v>
      </c>
      <c r="C66" s="14" t="s">
        <v>219</v>
      </c>
    </row>
    <row r="67">
      <c r="A67" s="5" t="s">
        <v>220</v>
      </c>
      <c r="B67" s="13">
        <f>VLOOKUP(A67,Tabla_1[[Cod interno]:[REDONDEO MAYORISTA]],7,FALSE)</f>
        <v>6400</v>
      </c>
      <c r="C67" s="14" t="s">
        <v>221</v>
      </c>
    </row>
    <row r="68">
      <c r="A68" s="5" t="s">
        <v>222</v>
      </c>
      <c r="B68" s="13">
        <f>VLOOKUP(A68,Tabla_1[[Cod interno]:[REDONDEO MAYORISTA]],7,FALSE)</f>
        <v>6400</v>
      </c>
      <c r="C68" s="14" t="s">
        <v>223</v>
      </c>
    </row>
    <row r="69">
      <c r="A69" s="5" t="s">
        <v>224</v>
      </c>
      <c r="B69" s="13">
        <f>VLOOKUP(A69,Tabla_1[[Cod interno]:[REDONDEO MAYORISTA]],7,FALSE)</f>
        <v>6400</v>
      </c>
      <c r="C69" s="14" t="s">
        <v>225</v>
      </c>
    </row>
    <row r="70">
      <c r="A70" s="5" t="s">
        <v>226</v>
      </c>
      <c r="B70" s="13">
        <f>VLOOKUP(A70,Tabla_1[[Cod interno]:[REDONDEO MAYORISTA]],7,FALSE)</f>
        <v>6400</v>
      </c>
      <c r="C70" s="14" t="s">
        <v>227</v>
      </c>
    </row>
    <row r="71">
      <c r="A71" s="5" t="s">
        <v>228</v>
      </c>
      <c r="B71" s="13">
        <f>VLOOKUP(A71,Tabla_1[[Cod interno]:[REDONDEO MAYORISTA]],7,FALSE)</f>
        <v>7700</v>
      </c>
      <c r="C71" s="14" t="s">
        <v>229</v>
      </c>
    </row>
    <row r="72">
      <c r="A72" s="5" t="s">
        <v>230</v>
      </c>
      <c r="B72" s="13">
        <f>VLOOKUP(A72,Tabla_1[[Cod interno]:[REDONDEO MAYORISTA]],7,FALSE)</f>
        <v>7700</v>
      </c>
      <c r="C72" s="14" t="s">
        <v>231</v>
      </c>
    </row>
    <row r="73">
      <c r="A73" s="5" t="s">
        <v>232</v>
      </c>
      <c r="B73" s="13">
        <f>VLOOKUP(A73,Tabla_1[[Cod interno]:[REDONDEO MAYORISTA]],7,FALSE)</f>
        <v>7700</v>
      </c>
      <c r="C73" s="14" t="s">
        <v>233</v>
      </c>
    </row>
    <row r="74">
      <c r="A74" s="5" t="s">
        <v>234</v>
      </c>
      <c r="B74" s="13">
        <f>VLOOKUP(A74,Tabla_1[[Cod interno]:[REDONDEO MAYORISTA]],7,FALSE)</f>
        <v>7700</v>
      </c>
      <c r="C74" s="14" t="s">
        <v>235</v>
      </c>
    </row>
    <row r="75">
      <c r="A75" s="5" t="s">
        <v>236</v>
      </c>
      <c r="B75" s="13">
        <f>VLOOKUP(A75,Tabla_1[[Cod interno]:[REDONDEO MAYORISTA]],7,FALSE)</f>
        <v>7700</v>
      </c>
      <c r="C75" s="14" t="s">
        <v>237</v>
      </c>
    </row>
    <row r="76">
      <c r="A76" s="5" t="s">
        <v>238</v>
      </c>
      <c r="B76" s="13">
        <f>VLOOKUP(A76,Tabla_1[[Cod interno]:[REDONDEO MAYORISTA]],7,FALSE)</f>
        <v>7700</v>
      </c>
      <c r="C76" s="14" t="s">
        <v>239</v>
      </c>
    </row>
    <row r="77">
      <c r="A77" s="5" t="s">
        <v>240</v>
      </c>
      <c r="B77" s="13">
        <f>VLOOKUP(A77,Tabla_1[[Cod interno]:[REDONDEO MAYORISTA]],7,FALSE)</f>
        <v>7700</v>
      </c>
      <c r="C77" s="14" t="s">
        <v>241</v>
      </c>
    </row>
    <row r="78">
      <c r="A78" s="5" t="s">
        <v>242</v>
      </c>
      <c r="B78" s="13">
        <f>VLOOKUP(A78,Tabla_1[[Cod interno]:[REDONDEO MAYORISTA]],7,FALSE)</f>
        <v>7700</v>
      </c>
      <c r="C78" s="14" t="s">
        <v>243</v>
      </c>
    </row>
    <row r="79">
      <c r="A79" s="5" t="s">
        <v>244</v>
      </c>
      <c r="B79" s="13">
        <f>VLOOKUP(A79,Tabla_1[[Cod interno]:[REDONDEO MAYORISTA]],7,FALSE)</f>
        <v>7700</v>
      </c>
      <c r="C79" s="14" t="s">
        <v>245</v>
      </c>
    </row>
    <row r="80">
      <c r="A80" s="5" t="s">
        <v>246</v>
      </c>
      <c r="B80" s="13">
        <f>VLOOKUP(A80,Tabla_1[[Cod interno]:[REDONDEO MAYORISTA]],7,FALSE)</f>
        <v>18200</v>
      </c>
      <c r="C80" s="14" t="s">
        <v>247</v>
      </c>
    </row>
    <row r="81">
      <c r="A81" s="5" t="s">
        <v>248</v>
      </c>
      <c r="B81" s="13">
        <f>VLOOKUP(A81,Tabla_1[[Cod interno]:[REDONDEO MAYORISTA]],7,FALSE)</f>
        <v>20500</v>
      </c>
      <c r="C81" s="14" t="s">
        <v>249</v>
      </c>
    </row>
    <row r="82">
      <c r="A82" s="5" t="s">
        <v>250</v>
      </c>
      <c r="B82" s="13">
        <f>VLOOKUP(A82,Tabla_1[[Cod interno]:[REDONDEO MAYORISTA]],7,FALSE)</f>
        <v>24700</v>
      </c>
      <c r="C82" s="14" t="s">
        <v>251</v>
      </c>
    </row>
    <row r="83">
      <c r="A83" s="5" t="s">
        <v>252</v>
      </c>
      <c r="B83" s="13">
        <f>VLOOKUP(A83,Tabla_1[[Cod interno]:[REDONDEO MAYORISTA]],7,FALSE)</f>
        <v>26700</v>
      </c>
      <c r="C83" s="5" t="s">
        <v>253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63"/>
  </cols>
  <sheetData>
    <row r="1">
      <c r="A1" s="1" t="s">
        <v>0</v>
      </c>
      <c r="B1" s="3" t="s">
        <v>2</v>
      </c>
      <c r="C1" s="1" t="s">
        <v>4</v>
      </c>
    </row>
    <row r="2">
      <c r="A2" s="5" t="s">
        <v>6</v>
      </c>
      <c r="B2" s="13">
        <f>VLOOKUP(A2,Tabla_1[[PRODUCTO]:[REDONDEO MINORISTA]],10,FALSE)</f>
        <v>22800</v>
      </c>
      <c r="C2" s="14" t="s">
        <v>38</v>
      </c>
      <c r="D2" s="15"/>
    </row>
    <row r="3">
      <c r="A3" s="5" t="s">
        <v>43</v>
      </c>
      <c r="B3" s="13">
        <f>VLOOKUP(A3,Tabla_1[[PRODUCTO]:[REDONDEO MINORISTA]],10,FALSE)</f>
        <v>29200</v>
      </c>
      <c r="C3" s="14" t="s">
        <v>57</v>
      </c>
      <c r="D3" s="15"/>
    </row>
    <row r="4">
      <c r="A4" s="5" t="s">
        <v>60</v>
      </c>
      <c r="B4" s="13">
        <f>VLOOKUP(A4,Tabla_1[[PRODUCTO]:[REDONDEO MINORISTA]],10,FALSE)</f>
        <v>49300</v>
      </c>
      <c r="C4" s="14" t="s">
        <v>67</v>
      </c>
      <c r="D4" s="15"/>
    </row>
    <row r="5">
      <c r="A5" s="5" t="s">
        <v>70</v>
      </c>
      <c r="B5" s="13">
        <f>VLOOKUP(A5,Tabla_1[[PRODUCTO]:[REDONDEO MINORISTA]],10,FALSE)</f>
        <v>32500</v>
      </c>
      <c r="C5" s="14" t="s">
        <v>78</v>
      </c>
      <c r="D5" s="15"/>
    </row>
    <row r="6">
      <c r="A6" s="5" t="s">
        <v>89</v>
      </c>
      <c r="B6" s="13">
        <f>VLOOKUP(A6,Tabla_1[[PRODUCTO]:[REDONDEO MINORISTA]],10,FALSE)</f>
        <v>46900</v>
      </c>
      <c r="C6" s="14" t="s">
        <v>98</v>
      </c>
      <c r="D6" s="15"/>
    </row>
    <row r="7">
      <c r="A7" s="5" t="s">
        <v>101</v>
      </c>
      <c r="B7" s="13">
        <f>VLOOKUP(A7,Tabla_1[[PRODUCTO]:[REDONDEO MINORISTA]],10,FALSE)</f>
        <v>46900</v>
      </c>
      <c r="C7" s="14" t="s">
        <v>102</v>
      </c>
      <c r="D7" s="15"/>
    </row>
    <row r="8">
      <c r="A8" s="5" t="s">
        <v>103</v>
      </c>
      <c r="B8" s="13">
        <f>VLOOKUP(A8,Tabla_1[[PRODUCTO]:[REDONDEO MINORISTA]],10,FALSE)</f>
        <v>37000</v>
      </c>
      <c r="C8" s="5" t="s">
        <v>104</v>
      </c>
      <c r="D8" s="28"/>
    </row>
    <row r="9">
      <c r="A9" s="5" t="s">
        <v>105</v>
      </c>
      <c r="B9" s="13">
        <f>VLOOKUP(A9,Tabla_1[[PRODUCTO]:[REDONDEO MINORISTA]],10,FALSE)</f>
        <v>34900</v>
      </c>
      <c r="C9" s="5" t="s">
        <v>107</v>
      </c>
      <c r="D9" s="28"/>
    </row>
    <row r="10">
      <c r="A10" s="5" t="s">
        <v>108</v>
      </c>
      <c r="B10" s="13">
        <f>VLOOKUP(A10,Tabla_1[[PRODUCTO]:[REDONDEO MINORISTA]],10,FALSE)</f>
        <v>50300</v>
      </c>
      <c r="C10" s="5" t="s">
        <v>109</v>
      </c>
      <c r="D10" s="28"/>
    </row>
    <row r="11">
      <c r="A11" s="5" t="s">
        <v>110</v>
      </c>
      <c r="B11" s="13">
        <f>VLOOKUP(A11,Tabla_1[[PRODUCTO]:[REDONDEO MINORISTA]],10,FALSE)</f>
        <v>39900</v>
      </c>
      <c r="C11" s="5" t="s">
        <v>111</v>
      </c>
      <c r="D11" s="28"/>
    </row>
    <row r="12">
      <c r="A12" s="5" t="s">
        <v>112</v>
      </c>
      <c r="B12" s="13">
        <f>VLOOKUP(A12,Tabla_1[[PRODUCTO]:[REDONDEO MINORISTA]],10,FALSE)</f>
        <v>15800</v>
      </c>
      <c r="C12" s="5" t="s">
        <v>113</v>
      </c>
      <c r="D12" s="28"/>
    </row>
    <row r="13">
      <c r="A13" s="5" t="s">
        <v>114</v>
      </c>
      <c r="B13" s="13">
        <f>VLOOKUP(A13,Tabla_1[[PRODUCTO]:[REDONDEO MINORISTA]],10,FALSE)</f>
        <v>15800</v>
      </c>
      <c r="C13" s="5" t="s">
        <v>113</v>
      </c>
      <c r="D13" s="28"/>
    </row>
    <row r="14">
      <c r="A14" s="5" t="s">
        <v>115</v>
      </c>
      <c r="B14" s="13">
        <f>VLOOKUP(A14,Tabla_1[[PRODUCTO]:[REDONDEO MINORISTA]],10,FALSE)</f>
        <v>56800</v>
      </c>
      <c r="C14" s="5" t="s">
        <v>102</v>
      </c>
      <c r="D14" s="28"/>
    </row>
    <row r="15">
      <c r="A15" s="5" t="s">
        <v>116</v>
      </c>
      <c r="B15" s="13">
        <f>VLOOKUP(A15,Tabla_1[[PRODUCTO]:[REDONDEO MINORISTA]],10,FALSE)</f>
        <v>64500</v>
      </c>
      <c r="C15" s="5" t="s">
        <v>117</v>
      </c>
      <c r="D15" s="28"/>
    </row>
    <row r="16">
      <c r="A16" s="5" t="s">
        <v>118</v>
      </c>
      <c r="B16" s="13">
        <f>VLOOKUP(A16,Tabla_1[[PRODUCTO]:[REDONDEO MINORISTA]],10,FALSE)</f>
        <v>48400</v>
      </c>
      <c r="C16" s="5" t="s">
        <v>119</v>
      </c>
      <c r="D16" s="28"/>
    </row>
    <row r="17">
      <c r="A17" s="5" t="s">
        <v>120</v>
      </c>
      <c r="B17" s="13">
        <f>VLOOKUP(A17,Tabla_1[[PRODUCTO]:[REDONDEO MINORISTA]],10,FALSE)</f>
        <v>51800</v>
      </c>
      <c r="C17" s="5" t="s">
        <v>121</v>
      </c>
      <c r="D17" s="28"/>
    </row>
    <row r="18">
      <c r="A18" s="5" t="s">
        <v>122</v>
      </c>
      <c r="B18" s="13">
        <f>VLOOKUP(A18,Tabla_1[[PRODUCTO]:[REDONDEO MINORISTA]],10,FALSE)</f>
        <v>23200</v>
      </c>
      <c r="C18" s="5" t="s">
        <v>123</v>
      </c>
      <c r="D18" s="28"/>
    </row>
    <row r="19">
      <c r="A19" s="5" t="s">
        <v>124</v>
      </c>
      <c r="B19" s="13">
        <f>VLOOKUP(A19,Tabla_1[[PRODUCTO]:[REDONDEO MINORISTA]],10,FALSE)</f>
        <v>59400</v>
      </c>
      <c r="C19" s="5" t="s">
        <v>125</v>
      </c>
      <c r="D19" s="28"/>
    </row>
    <row r="20">
      <c r="A20" s="5" t="s">
        <v>126</v>
      </c>
      <c r="B20" s="13">
        <f>VLOOKUP(A20,Tabla_1[[PRODUCTO]:[REDONDEO MINORISTA]],10,FALSE)</f>
        <v>30900</v>
      </c>
      <c r="C20" s="5" t="s">
        <v>127</v>
      </c>
      <c r="D20" s="28"/>
    </row>
    <row r="21">
      <c r="A21" s="5" t="s">
        <v>128</v>
      </c>
      <c r="B21" s="13">
        <f>VLOOKUP(A21,Tabla_1[[PRODUCTO]:[REDONDEO MINORISTA]],10,FALSE)</f>
        <v>31300</v>
      </c>
      <c r="C21" s="5" t="s">
        <v>129</v>
      </c>
      <c r="D21" s="28"/>
    </row>
    <row r="22">
      <c r="A22" s="5" t="s">
        <v>130</v>
      </c>
      <c r="B22" s="13">
        <f>VLOOKUP(A22,Tabla_1[[PRODUCTO]:[REDONDEO MINORISTA]],10,FALSE)</f>
        <v>37800</v>
      </c>
      <c r="C22" s="5" t="s">
        <v>131</v>
      </c>
      <c r="D22" s="28"/>
    </row>
    <row r="23">
      <c r="A23" s="5" t="s">
        <v>132</v>
      </c>
      <c r="B23" s="13">
        <f>VLOOKUP(A23,Tabla_1[[PRODUCTO]:[REDONDEO MINORISTA]],10,FALSE)</f>
        <v>43100</v>
      </c>
      <c r="C23" s="5" t="s">
        <v>133</v>
      </c>
      <c r="D23" s="28"/>
    </row>
    <row r="24">
      <c r="A24" s="5" t="s">
        <v>134</v>
      </c>
      <c r="B24" s="13">
        <f>VLOOKUP(A24,Tabla_1[[PRODUCTO]:[REDONDEO MINORISTA]],10,FALSE)</f>
        <v>56900</v>
      </c>
      <c r="C24" s="5" t="s">
        <v>135</v>
      </c>
      <c r="D24" s="28"/>
    </row>
    <row r="25">
      <c r="A25" s="5" t="s">
        <v>136</v>
      </c>
      <c r="B25" s="13">
        <f>VLOOKUP(A25,Tabla_1[[PRODUCTO]:[REDONDEO MINORISTA]],10,FALSE)</f>
        <v>63400</v>
      </c>
      <c r="C25" s="5" t="s">
        <v>137</v>
      </c>
      <c r="D25" s="28"/>
    </row>
    <row r="26">
      <c r="A26" s="5" t="s">
        <v>138</v>
      </c>
      <c r="B26" s="13">
        <f>VLOOKUP(A26,Tabla_1[[PRODUCTO]:[REDONDEO MINORISTA]],10,FALSE)</f>
        <v>26600</v>
      </c>
      <c r="C26" s="5" t="s">
        <v>139</v>
      </c>
      <c r="D26" s="28"/>
    </row>
    <row r="27">
      <c r="A27" s="5" t="s">
        <v>140</v>
      </c>
      <c r="B27" s="13">
        <f>VLOOKUP(A27,Tabla_1[[PRODUCTO]:[REDONDEO MINORISTA]],10,FALSE)</f>
        <v>30200</v>
      </c>
      <c r="C27" s="5" t="s">
        <v>141</v>
      </c>
      <c r="D27" s="28"/>
    </row>
    <row r="28">
      <c r="A28" s="5" t="s">
        <v>142</v>
      </c>
      <c r="B28" s="13">
        <f>VLOOKUP(A28,Tabla_1[[PRODUCTO]:[REDONDEO MINORISTA]],10,FALSE)</f>
        <v>49300</v>
      </c>
      <c r="C28" s="5" t="s">
        <v>143</v>
      </c>
      <c r="D28" s="28"/>
    </row>
    <row r="29">
      <c r="A29" s="5" t="s">
        <v>144</v>
      </c>
      <c r="B29" s="13">
        <f>VLOOKUP(A29,Tabla_1[[PRODUCTO]:[REDONDEO MINORISTA]],10,FALSE)</f>
        <v>59600</v>
      </c>
      <c r="C29" s="5" t="s">
        <v>145</v>
      </c>
      <c r="D29" s="28"/>
    </row>
    <row r="30">
      <c r="A30" s="5" t="s">
        <v>146</v>
      </c>
      <c r="B30" s="13">
        <f>VLOOKUP(A30,Tabla_1[[PRODUCTO]:[REDONDEO MINORISTA]],10,FALSE)</f>
        <v>45600</v>
      </c>
      <c r="C30" s="5" t="s">
        <v>147</v>
      </c>
      <c r="D30" s="28"/>
    </row>
    <row r="31">
      <c r="A31" s="5" t="s">
        <v>148</v>
      </c>
      <c r="B31" s="13">
        <f>VLOOKUP(A31,Tabla_1[[PRODUCTO]:[REDONDEO MINORISTA]],10,FALSE)</f>
        <v>51400</v>
      </c>
      <c r="C31" s="5" t="s">
        <v>149</v>
      </c>
      <c r="D31" s="28"/>
    </row>
    <row r="32">
      <c r="A32" s="5" t="s">
        <v>150</v>
      </c>
      <c r="B32" s="13">
        <f>VLOOKUP(A32,Tabla_1[[PRODUCTO]:[REDONDEO MINORISTA]],10,FALSE)</f>
        <v>13100</v>
      </c>
      <c r="C32" s="5" t="s">
        <v>151</v>
      </c>
      <c r="D32" s="28"/>
    </row>
    <row r="33">
      <c r="A33" s="14" t="s">
        <v>152</v>
      </c>
      <c r="B33" s="13">
        <f>VLOOKUP(A33,Tabla_1[[PRODUCTO]:[REDONDEO MINORISTA]],10,FALSE)</f>
        <v>13100</v>
      </c>
      <c r="C33" s="5" t="s">
        <v>153</v>
      </c>
      <c r="D33" s="28"/>
    </row>
    <row r="34">
      <c r="A34" s="14" t="s">
        <v>154</v>
      </c>
      <c r="B34" s="13">
        <f>VLOOKUP(A34,Tabla_1[[PRODUCTO]:[REDONDEO MINORISTA]],10,FALSE)</f>
        <v>13100</v>
      </c>
      <c r="C34" s="5" t="s">
        <v>155</v>
      </c>
      <c r="D34" s="28"/>
    </row>
    <row r="35">
      <c r="A35" s="14" t="s">
        <v>156</v>
      </c>
      <c r="B35" s="13">
        <f>VLOOKUP(A35,Tabla_1[[PRODUCTO]:[REDONDEO MINORISTA]],10,FALSE)</f>
        <v>13100</v>
      </c>
      <c r="C35" s="5" t="s">
        <v>157</v>
      </c>
      <c r="D35" s="28"/>
    </row>
    <row r="36">
      <c r="A36" s="14" t="s">
        <v>158</v>
      </c>
      <c r="B36" s="13">
        <f>VLOOKUP(A36,Tabla_1[[PRODUCTO]:[REDONDEO MINORISTA]],10,FALSE)</f>
        <v>13100</v>
      </c>
      <c r="C36" s="5" t="s">
        <v>159</v>
      </c>
      <c r="D36" s="28"/>
    </row>
    <row r="37">
      <c r="A37" s="14" t="s">
        <v>160</v>
      </c>
      <c r="B37" s="13">
        <f>VLOOKUP(A37,Tabla_1[[PRODUCTO]:[REDONDEO MINORISTA]],10,FALSE)</f>
        <v>13100</v>
      </c>
      <c r="C37" s="5" t="s">
        <v>161</v>
      </c>
      <c r="D37" s="28"/>
    </row>
    <row r="38">
      <c r="A38" s="5" t="s">
        <v>162</v>
      </c>
      <c r="B38" s="13">
        <f>VLOOKUP(A38,Tabla_1[[PRODUCTO]:[REDONDEO MINORISTA]],10,FALSE)</f>
        <v>27500</v>
      </c>
      <c r="C38" s="5" t="s">
        <v>163</v>
      </c>
      <c r="D38" s="28"/>
    </row>
    <row r="39">
      <c r="A39" s="5" t="s">
        <v>164</v>
      </c>
      <c r="B39" s="13">
        <f>VLOOKUP(A39,Tabla_1[[PRODUCTO]:[REDONDEO MINORISTA]],10,FALSE)</f>
        <v>28300</v>
      </c>
      <c r="C39" s="5" t="s">
        <v>165</v>
      </c>
      <c r="D39" s="28"/>
    </row>
    <row r="40">
      <c r="A40" s="5" t="s">
        <v>166</v>
      </c>
      <c r="B40" s="13">
        <f>VLOOKUP(A40,Tabla_1[[PRODUCTO]:[REDONDEO MINORISTA]],10,FALSE)</f>
        <v>14200</v>
      </c>
      <c r="C40" s="5" t="s">
        <v>167</v>
      </c>
      <c r="D40" s="28"/>
    </row>
    <row r="41">
      <c r="A41" s="5" t="s">
        <v>168</v>
      </c>
      <c r="B41" s="13">
        <f>VLOOKUP(A41,Tabla_1[[PRODUCTO]:[REDONDEO MINORISTA]],10,FALSE)</f>
        <v>17500</v>
      </c>
      <c r="C41" s="5" t="s">
        <v>169</v>
      </c>
      <c r="D41" s="28"/>
    </row>
    <row r="42">
      <c r="A42" s="14" t="s">
        <v>170</v>
      </c>
      <c r="B42" s="13">
        <f>VLOOKUP(A42,Tabla_1[[PRODUCTO]:[REDONDEO MINORISTA]],10,FALSE)</f>
        <v>8400</v>
      </c>
      <c r="C42" s="5" t="s">
        <v>171</v>
      </c>
      <c r="D42" s="28"/>
    </row>
    <row r="43">
      <c r="A43" s="14" t="s">
        <v>172</v>
      </c>
      <c r="B43" s="13">
        <f>VLOOKUP(A43,Tabla_1[[PRODUCTO]:[REDONDEO MINORISTA]],10,FALSE)</f>
        <v>8400</v>
      </c>
      <c r="C43" s="5" t="s">
        <v>173</v>
      </c>
      <c r="D43" s="28"/>
    </row>
    <row r="44">
      <c r="A44" s="14" t="s">
        <v>174</v>
      </c>
      <c r="B44" s="13">
        <f>VLOOKUP(A44,Tabla_1[[PRODUCTO]:[REDONDEO MINORISTA]],10,FALSE)</f>
        <v>8400</v>
      </c>
      <c r="C44" s="5" t="s">
        <v>175</v>
      </c>
      <c r="D44" s="28"/>
    </row>
    <row r="45">
      <c r="A45" s="14" t="s">
        <v>176</v>
      </c>
      <c r="B45" s="13">
        <f>VLOOKUP(A45,Tabla_1[[PRODUCTO]:[REDONDEO MINORISTA]],10,FALSE)</f>
        <v>8400</v>
      </c>
      <c r="C45" s="5" t="s">
        <v>177</v>
      </c>
      <c r="D45" s="28"/>
    </row>
    <row r="46">
      <c r="A46" s="5" t="s">
        <v>178</v>
      </c>
      <c r="B46" s="13">
        <f>VLOOKUP(A46,Tabla_1[[Cod interno]:[REDONDEO MINORISTA]],9,FALSE)</f>
        <v>37000</v>
      </c>
      <c r="C46" s="14" t="s">
        <v>179</v>
      </c>
      <c r="D46" s="15"/>
    </row>
    <row r="47">
      <c r="A47" s="5" t="s">
        <v>180</v>
      </c>
      <c r="B47" s="13">
        <f>VLOOKUP(A47,Tabla_1[[Cod interno]:[REDONDEO MINORISTA]],9,FALSE)</f>
        <v>11800</v>
      </c>
      <c r="C47" s="14" t="s">
        <v>181</v>
      </c>
      <c r="D47" s="15"/>
    </row>
    <row r="48">
      <c r="A48" s="5" t="s">
        <v>182</v>
      </c>
      <c r="B48" s="13">
        <f>VLOOKUP(A48,Tabla_1[[Cod interno]:[REDONDEO MINORISTA]],9,FALSE)</f>
        <v>11200</v>
      </c>
      <c r="C48" s="14" t="s">
        <v>183</v>
      </c>
      <c r="D48" s="15"/>
    </row>
    <row r="49">
      <c r="A49" s="5" t="s">
        <v>184</v>
      </c>
      <c r="B49" s="13">
        <f>VLOOKUP(A49,Tabla_1[[Cod interno]:[REDONDEO MINORISTA]],9,FALSE)</f>
        <v>8500</v>
      </c>
      <c r="C49" s="14" t="s">
        <v>185</v>
      </c>
      <c r="D49" s="15"/>
    </row>
    <row r="50">
      <c r="A50" s="5" t="s">
        <v>186</v>
      </c>
      <c r="B50" s="13">
        <f>VLOOKUP(A50,Tabla_1[[Cod interno]:[REDONDEO MINORISTA]],9,FALSE)</f>
        <v>16500</v>
      </c>
      <c r="C50" s="14" t="s">
        <v>187</v>
      </c>
      <c r="D50" s="15"/>
    </row>
    <row r="51">
      <c r="A51" s="5" t="s">
        <v>188</v>
      </c>
      <c r="B51" s="13">
        <f>VLOOKUP(A51,Tabla_1[[Cod interno]:[REDONDEO MINORISTA]],9,FALSE)</f>
        <v>14400</v>
      </c>
      <c r="C51" s="14" t="s">
        <v>189</v>
      </c>
      <c r="D51" s="15"/>
    </row>
    <row r="52">
      <c r="A52" s="5" t="s">
        <v>190</v>
      </c>
      <c r="B52" s="13">
        <f>VLOOKUP(A52,Tabla_1[[Cod interno]:[REDONDEO MINORISTA]],9,FALSE)</f>
        <v>17500</v>
      </c>
      <c r="C52" s="14" t="s">
        <v>191</v>
      </c>
      <c r="D52" s="15"/>
    </row>
    <row r="53">
      <c r="A53" s="5" t="s">
        <v>192</v>
      </c>
      <c r="B53" s="13">
        <f>VLOOKUP(A53,Tabla_1[[Cod interno]:[REDONDEO MINORISTA]],9,FALSE)</f>
        <v>16700</v>
      </c>
      <c r="C53" s="14" t="s">
        <v>193</v>
      </c>
      <c r="D53" s="15"/>
    </row>
    <row r="54">
      <c r="A54" s="5" t="s">
        <v>194</v>
      </c>
      <c r="B54" s="13">
        <f>VLOOKUP(A54,Tabla_1[[Cod interno]:[REDONDEO MINORISTA]],9,FALSE)</f>
        <v>9300</v>
      </c>
      <c r="C54" s="14" t="s">
        <v>195</v>
      </c>
      <c r="D54" s="15"/>
    </row>
    <row r="55">
      <c r="A55" s="5" t="s">
        <v>196</v>
      </c>
      <c r="B55" s="13">
        <f>VLOOKUP(A55,Tabla_1[[Cod interno]:[REDONDEO MINORISTA]],9,FALSE)</f>
        <v>9300</v>
      </c>
      <c r="C55" s="14" t="s">
        <v>197</v>
      </c>
      <c r="D55" s="15"/>
    </row>
    <row r="56">
      <c r="A56" s="5" t="s">
        <v>198</v>
      </c>
      <c r="B56" s="13">
        <f>VLOOKUP(A56,Tabla_1[[Cod interno]:[REDONDEO MINORISTA]],9,FALSE)</f>
        <v>12300</v>
      </c>
      <c r="C56" s="14" t="s">
        <v>199</v>
      </c>
      <c r="D56" s="15"/>
    </row>
    <row r="57">
      <c r="A57" s="5" t="s">
        <v>200</v>
      </c>
      <c r="B57" s="13">
        <f>VLOOKUP(A57,Tabla_1[[Cod interno]:[REDONDEO MINORISTA]],9,FALSE)</f>
        <v>9300</v>
      </c>
      <c r="C57" s="14" t="s">
        <v>201</v>
      </c>
      <c r="D57" s="15"/>
    </row>
    <row r="58">
      <c r="A58" s="5" t="s">
        <v>202</v>
      </c>
      <c r="B58" s="13">
        <f>VLOOKUP(A58,Tabla_1[[Cod interno]:[REDONDEO MINORISTA]],9,FALSE)</f>
        <v>9300</v>
      </c>
      <c r="C58" s="14" t="s">
        <v>203</v>
      </c>
      <c r="D58" s="15"/>
    </row>
    <row r="59">
      <c r="A59" s="5" t="s">
        <v>204</v>
      </c>
      <c r="B59" s="13">
        <f>VLOOKUP(A59,Tabla_1[[Cod interno]:[REDONDEO MINORISTA]],9,FALSE)</f>
        <v>9300</v>
      </c>
      <c r="C59" s="14" t="s">
        <v>205</v>
      </c>
      <c r="D59" s="15"/>
    </row>
    <row r="60">
      <c r="A60" s="5" t="s">
        <v>206</v>
      </c>
      <c r="B60" s="13">
        <f>VLOOKUP(A60,Tabla_1[[Cod interno]:[REDONDEO MINORISTA]],9,FALSE)</f>
        <v>9300</v>
      </c>
      <c r="C60" s="14" t="s">
        <v>207</v>
      </c>
      <c r="D60" s="15"/>
    </row>
    <row r="61">
      <c r="A61" s="5" t="s">
        <v>208</v>
      </c>
      <c r="B61" s="13">
        <f>VLOOKUP(A61,Tabla_1[[Cod interno]:[REDONDEO MINORISTA]],9,FALSE)</f>
        <v>9300</v>
      </c>
      <c r="C61" s="14" t="s">
        <v>209</v>
      </c>
      <c r="D61" s="15"/>
    </row>
    <row r="62">
      <c r="A62" s="5" t="s">
        <v>210</v>
      </c>
      <c r="B62" s="13">
        <f>VLOOKUP(A62,Tabla_1[[Cod interno]:[REDONDEO MINORISTA]],9,FALSE)</f>
        <v>9300</v>
      </c>
      <c r="C62" s="14" t="s">
        <v>211</v>
      </c>
      <c r="D62" s="15"/>
    </row>
    <row r="63">
      <c r="A63" s="5" t="s">
        <v>212</v>
      </c>
      <c r="B63" s="13">
        <f>VLOOKUP(A63,Tabla_1[[Cod interno]:[REDONDEO MINORISTA]],9,FALSE)</f>
        <v>9300</v>
      </c>
      <c r="C63" s="14" t="s">
        <v>213</v>
      </c>
      <c r="D63" s="15"/>
    </row>
    <row r="64">
      <c r="A64" s="5" t="s">
        <v>214</v>
      </c>
      <c r="B64" s="13">
        <f>VLOOKUP(A64,Tabla_1[[Cod interno]:[REDONDEO MINORISTA]],9,FALSE)</f>
        <v>9300</v>
      </c>
      <c r="C64" s="14" t="s">
        <v>215</v>
      </c>
      <c r="D64" s="15"/>
    </row>
    <row r="65">
      <c r="A65" s="5" t="s">
        <v>216</v>
      </c>
      <c r="B65" s="13">
        <f>VLOOKUP(A65,Tabla_1[[Cod interno]:[REDONDEO MINORISTA]],9,FALSE)</f>
        <v>9300</v>
      </c>
      <c r="C65" s="14" t="s">
        <v>217</v>
      </c>
      <c r="D65" s="15"/>
    </row>
    <row r="66">
      <c r="A66" s="5" t="s">
        <v>218</v>
      </c>
      <c r="B66" s="13">
        <f>VLOOKUP(A66,Tabla_1[[Cod interno]:[REDONDEO MINORISTA]],9,FALSE)</f>
        <v>9300</v>
      </c>
      <c r="C66" s="14" t="s">
        <v>219</v>
      </c>
      <c r="D66" s="15"/>
    </row>
    <row r="67">
      <c r="A67" s="5" t="s">
        <v>220</v>
      </c>
      <c r="B67" s="13">
        <f>VLOOKUP(A67,Tabla_1[[Cod interno]:[REDONDEO MINORISTA]],9,FALSE)</f>
        <v>9300</v>
      </c>
      <c r="C67" s="14" t="s">
        <v>221</v>
      </c>
      <c r="D67" s="15"/>
    </row>
    <row r="68">
      <c r="A68" s="5" t="s">
        <v>222</v>
      </c>
      <c r="B68" s="13">
        <f>VLOOKUP(A68,Tabla_1[[Cod interno]:[REDONDEO MINORISTA]],9,FALSE)</f>
        <v>9300</v>
      </c>
      <c r="C68" s="14" t="s">
        <v>223</v>
      </c>
      <c r="D68" s="15"/>
    </row>
    <row r="69">
      <c r="A69" s="5" t="s">
        <v>224</v>
      </c>
      <c r="B69" s="13">
        <f>VLOOKUP(A69,Tabla_1[[Cod interno]:[REDONDEO MINORISTA]],9,FALSE)</f>
        <v>9300</v>
      </c>
      <c r="C69" s="14" t="s">
        <v>225</v>
      </c>
      <c r="D69" s="15"/>
    </row>
    <row r="70">
      <c r="A70" s="5" t="s">
        <v>226</v>
      </c>
      <c r="B70" s="13">
        <f>VLOOKUP(A70,Tabla_1[[Cod interno]:[REDONDEO MINORISTA]],9,FALSE)</f>
        <v>9300</v>
      </c>
      <c r="C70" s="14" t="s">
        <v>227</v>
      </c>
      <c r="D70" s="15"/>
    </row>
    <row r="71">
      <c r="A71" s="5" t="s">
        <v>228</v>
      </c>
      <c r="B71" s="13">
        <f>VLOOKUP(A71,Tabla_1[[Cod interno]:[REDONDEO MINORISTA]],9,FALSE)</f>
        <v>11200</v>
      </c>
      <c r="C71" s="14" t="s">
        <v>229</v>
      </c>
      <c r="D71" s="15"/>
    </row>
    <row r="72">
      <c r="A72" s="5" t="s">
        <v>230</v>
      </c>
      <c r="B72" s="13">
        <f>VLOOKUP(A72,Tabla_1[[Cod interno]:[REDONDEO MINORISTA]],9,FALSE)</f>
        <v>11200</v>
      </c>
      <c r="C72" s="14" t="s">
        <v>231</v>
      </c>
      <c r="D72" s="15"/>
    </row>
    <row r="73">
      <c r="A73" s="5" t="s">
        <v>232</v>
      </c>
      <c r="B73" s="13">
        <f>VLOOKUP(A73,Tabla_1[[Cod interno]:[REDONDEO MINORISTA]],9,FALSE)</f>
        <v>11200</v>
      </c>
      <c r="C73" s="14" t="s">
        <v>233</v>
      </c>
      <c r="D73" s="15"/>
    </row>
    <row r="74">
      <c r="A74" s="5" t="s">
        <v>234</v>
      </c>
      <c r="B74" s="13">
        <f>VLOOKUP(A74,Tabla_1[[Cod interno]:[REDONDEO MINORISTA]],9,FALSE)</f>
        <v>11200</v>
      </c>
      <c r="C74" s="14" t="s">
        <v>235</v>
      </c>
      <c r="D74" s="15"/>
    </row>
    <row r="75">
      <c r="A75" s="5" t="s">
        <v>236</v>
      </c>
      <c r="B75" s="13">
        <f>VLOOKUP(A75,Tabla_1[[Cod interno]:[REDONDEO MINORISTA]],9,FALSE)</f>
        <v>11200</v>
      </c>
      <c r="C75" s="14" t="s">
        <v>237</v>
      </c>
      <c r="D75" s="15"/>
    </row>
    <row r="76">
      <c r="A76" s="5" t="s">
        <v>238</v>
      </c>
      <c r="B76" s="13">
        <f>VLOOKUP(A76,Tabla_1[[Cod interno]:[REDONDEO MINORISTA]],9,FALSE)</f>
        <v>11200</v>
      </c>
      <c r="C76" s="14" t="s">
        <v>239</v>
      </c>
      <c r="D76" s="15"/>
    </row>
    <row r="77">
      <c r="A77" s="5" t="s">
        <v>240</v>
      </c>
      <c r="B77" s="13">
        <f>VLOOKUP(A77,Tabla_1[[Cod interno]:[REDONDEO MINORISTA]],9,FALSE)</f>
        <v>11200</v>
      </c>
      <c r="C77" s="14" t="s">
        <v>241</v>
      </c>
      <c r="D77" s="15"/>
    </row>
    <row r="78">
      <c r="A78" s="5" t="s">
        <v>242</v>
      </c>
      <c r="B78" s="13">
        <f>VLOOKUP(A78,Tabla_1[[Cod interno]:[REDONDEO MINORISTA]],9,FALSE)</f>
        <v>11200</v>
      </c>
      <c r="C78" s="14" t="s">
        <v>243</v>
      </c>
      <c r="D78" s="15"/>
    </row>
    <row r="79">
      <c r="A79" s="5" t="s">
        <v>244</v>
      </c>
      <c r="B79" s="13">
        <f>VLOOKUP(A79,Tabla_1[[Cod interno]:[REDONDEO MINORISTA]],9,FALSE)</f>
        <v>11200</v>
      </c>
      <c r="C79" s="14" t="s">
        <v>245</v>
      </c>
      <c r="D79" s="15"/>
    </row>
    <row r="80">
      <c r="A80" s="5" t="s">
        <v>246</v>
      </c>
      <c r="B80" s="13">
        <f>VLOOKUP(A80,Tabla_1[[Cod interno]:[REDONDEO MINORISTA]],9,FALSE)</f>
        <v>26600</v>
      </c>
      <c r="C80" s="14" t="s">
        <v>247</v>
      </c>
      <c r="D80" s="15"/>
    </row>
    <row r="81">
      <c r="A81" s="5" t="s">
        <v>248</v>
      </c>
      <c r="B81" s="13">
        <f>VLOOKUP(A81,Tabla_1[[Cod interno]:[REDONDEO MINORISTA]],9,FALSE)</f>
        <v>30000</v>
      </c>
      <c r="C81" s="14" t="s">
        <v>249</v>
      </c>
      <c r="D81" s="15"/>
    </row>
    <row r="82">
      <c r="A82" s="5" t="s">
        <v>250</v>
      </c>
      <c r="B82" s="13">
        <f>VLOOKUP(A82,Tabla_1[[Cod interno]:[REDONDEO MINORISTA]],9,FALSE)</f>
        <v>36100</v>
      </c>
      <c r="C82" s="14" t="s">
        <v>251</v>
      </c>
      <c r="D82" s="15"/>
    </row>
    <row r="83">
      <c r="A83" s="5" t="s">
        <v>252</v>
      </c>
      <c r="B83" s="13">
        <f>VLOOKUP(A83,Tabla_1[[Cod interno]:[REDONDEO MINORISTA]],9,FALSE)</f>
        <v>38900</v>
      </c>
      <c r="C83" s="5" t="s">
        <v>253</v>
      </c>
      <c r="D83" s="2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63"/>
  </cols>
  <sheetData>
    <row r="1">
      <c r="A1" s="1" t="s">
        <v>0</v>
      </c>
      <c r="B1" s="3" t="s">
        <v>2</v>
      </c>
      <c r="C1" s="1" t="s">
        <v>4</v>
      </c>
    </row>
    <row r="2">
      <c r="A2" s="5" t="s">
        <v>6</v>
      </c>
      <c r="B2" s="13">
        <f>VLOOKUP(A2,Tabla_1[[PRODUCTO]:[REDONDEO ML]],12,FALSE)</f>
        <v>42000</v>
      </c>
      <c r="C2" s="14" t="s">
        <v>38</v>
      </c>
    </row>
    <row r="3">
      <c r="A3" s="5" t="s">
        <v>43</v>
      </c>
      <c r="B3" s="13">
        <f>VLOOKUP(A3,Tabla_1[[PRODUCTO]:[REDONDEO ML]],12,FALSE)</f>
        <v>53900</v>
      </c>
      <c r="C3" s="14" t="s">
        <v>57</v>
      </c>
    </row>
    <row r="4">
      <c r="A4" s="5" t="s">
        <v>60</v>
      </c>
      <c r="B4" s="13">
        <f>VLOOKUP(A4,Tabla_1[[PRODUCTO]:[REDONDEO ML]],12,FALSE)</f>
        <v>91000</v>
      </c>
      <c r="C4" s="14" t="s">
        <v>67</v>
      </c>
    </row>
    <row r="5">
      <c r="A5" s="5" t="s">
        <v>70</v>
      </c>
      <c r="B5" s="13">
        <f>VLOOKUP(A5,Tabla_1[[PRODUCTO]:[REDONDEO ML]],12,FALSE)</f>
        <v>59900</v>
      </c>
      <c r="C5" s="14" t="s">
        <v>78</v>
      </c>
    </row>
    <row r="6">
      <c r="A6" s="5" t="s">
        <v>89</v>
      </c>
      <c r="B6" s="13">
        <f>VLOOKUP(A6,Tabla_1[[PRODUCTO]:[REDONDEO ML]],12,FALSE)</f>
        <v>86500</v>
      </c>
      <c r="C6" s="14" t="s">
        <v>98</v>
      </c>
    </row>
    <row r="7">
      <c r="A7" s="5" t="s">
        <v>101</v>
      </c>
      <c r="B7" s="13">
        <f>VLOOKUP(A7,Tabla_1[[PRODUCTO]:[REDONDEO ML]],12,FALSE)</f>
        <v>86500</v>
      </c>
      <c r="C7" s="14" t="s">
        <v>102</v>
      </c>
    </row>
    <row r="8">
      <c r="A8" s="5" t="s">
        <v>103</v>
      </c>
      <c r="B8" s="13">
        <f>VLOOKUP(A8,Tabla_1[[PRODUCTO]:[REDONDEO ML]],12,FALSE)</f>
        <v>68300</v>
      </c>
      <c r="C8" s="5" t="s">
        <v>104</v>
      </c>
    </row>
    <row r="9">
      <c r="A9" s="5" t="s">
        <v>105</v>
      </c>
      <c r="B9" s="13">
        <f>VLOOKUP(A9,Tabla_1[[PRODUCTO]:[REDONDEO ML]],12,FALSE)</f>
        <v>64400</v>
      </c>
      <c r="C9" s="5" t="s">
        <v>107</v>
      </c>
    </row>
    <row r="10">
      <c r="A10" s="5" t="s">
        <v>108</v>
      </c>
      <c r="B10" s="13">
        <f>VLOOKUP(A10,Tabla_1[[PRODUCTO]:[REDONDEO ML]],12,FALSE)</f>
        <v>92800</v>
      </c>
      <c r="C10" s="5" t="s">
        <v>109</v>
      </c>
    </row>
    <row r="11">
      <c r="A11" s="5" t="s">
        <v>110</v>
      </c>
      <c r="B11" s="13">
        <f>VLOOKUP(A11,Tabla_1[[PRODUCTO]:[REDONDEO ML]],12,FALSE)</f>
        <v>73500</v>
      </c>
      <c r="C11" s="5" t="s">
        <v>111</v>
      </c>
    </row>
    <row r="12">
      <c r="A12" s="5" t="s">
        <v>112</v>
      </c>
      <c r="B12" s="13">
        <f>VLOOKUP(A12,Tabla_1[[PRODUCTO]:[REDONDEO ML]],12,FALSE)</f>
        <v>29100</v>
      </c>
      <c r="C12" s="5" t="s">
        <v>113</v>
      </c>
    </row>
    <row r="13">
      <c r="A13" s="5" t="s">
        <v>114</v>
      </c>
      <c r="B13" s="13">
        <f>VLOOKUP(A13,Tabla_1[[PRODUCTO]:[REDONDEO ML]],12,FALSE)</f>
        <v>29100</v>
      </c>
      <c r="C13" s="5" t="s">
        <v>113</v>
      </c>
    </row>
    <row r="14">
      <c r="A14" s="5" t="s">
        <v>115</v>
      </c>
      <c r="B14" s="13">
        <f>VLOOKUP(A14,Tabla_1[[PRODUCTO]:[REDONDEO ML]],12,FALSE)</f>
        <v>104700</v>
      </c>
      <c r="C14" s="5" t="s">
        <v>102</v>
      </c>
    </row>
    <row r="15">
      <c r="A15" s="5" t="s">
        <v>116</v>
      </c>
      <c r="B15" s="13">
        <f>VLOOKUP(A15,Tabla_1[[PRODUCTO]:[REDONDEO ML]],12,FALSE)</f>
        <v>119000</v>
      </c>
      <c r="C15" s="5" t="s">
        <v>117</v>
      </c>
    </row>
    <row r="16">
      <c r="A16" s="5" t="s">
        <v>118</v>
      </c>
      <c r="B16" s="13">
        <f>VLOOKUP(A16,Tabla_1[[PRODUCTO]:[REDONDEO ML]],12,FALSE)</f>
        <v>89300</v>
      </c>
      <c r="C16" s="5" t="s">
        <v>119</v>
      </c>
    </row>
    <row r="17">
      <c r="A17" s="5" t="s">
        <v>120</v>
      </c>
      <c r="B17" s="13">
        <f>VLOOKUP(A17,Tabla_1[[PRODUCTO]:[REDONDEO ML]],12,FALSE)</f>
        <v>95600</v>
      </c>
      <c r="C17" s="5" t="s">
        <v>121</v>
      </c>
    </row>
    <row r="18">
      <c r="A18" s="5" t="s">
        <v>122</v>
      </c>
      <c r="B18" s="13">
        <f>VLOOKUP(A18,Tabla_1[[PRODUCTO]:[REDONDEO ML]],12,FALSE)</f>
        <v>42700</v>
      </c>
      <c r="C18" s="5" t="s">
        <v>123</v>
      </c>
    </row>
    <row r="19">
      <c r="A19" s="5" t="s">
        <v>124</v>
      </c>
      <c r="B19" s="13">
        <f>VLOOKUP(A19,Tabla_1[[PRODUCTO]:[REDONDEO ML]],12,FALSE)</f>
        <v>109600</v>
      </c>
      <c r="C19" s="5" t="s">
        <v>125</v>
      </c>
    </row>
    <row r="20">
      <c r="A20" s="5" t="s">
        <v>126</v>
      </c>
      <c r="B20" s="13">
        <f>VLOOKUP(A20,Tabla_1[[PRODUCTO]:[REDONDEO ML]],12,FALSE)</f>
        <v>57100</v>
      </c>
      <c r="C20" s="5" t="s">
        <v>127</v>
      </c>
    </row>
    <row r="21">
      <c r="A21" s="5" t="s">
        <v>128</v>
      </c>
      <c r="B21" s="13">
        <f>VLOOKUP(A21,Tabla_1[[PRODUCTO]:[REDONDEO ML]],12,FALSE)</f>
        <v>57800</v>
      </c>
      <c r="C21" s="5" t="s">
        <v>129</v>
      </c>
    </row>
    <row r="22">
      <c r="A22" s="5" t="s">
        <v>130</v>
      </c>
      <c r="B22" s="13">
        <f>VLOOKUP(A22,Tabla_1[[PRODUCTO]:[REDONDEO ML]],12,FALSE)</f>
        <v>69700</v>
      </c>
      <c r="C22" s="5" t="s">
        <v>131</v>
      </c>
    </row>
    <row r="23">
      <c r="A23" s="5" t="s">
        <v>132</v>
      </c>
      <c r="B23" s="13">
        <f>VLOOKUP(A23,Tabla_1[[PRODUCTO]:[REDONDEO ML]],12,FALSE)</f>
        <v>79500</v>
      </c>
      <c r="C23" s="5" t="s">
        <v>133</v>
      </c>
    </row>
    <row r="24">
      <c r="A24" s="5" t="s">
        <v>134</v>
      </c>
      <c r="B24" s="13">
        <f>VLOOKUP(A24,Tabla_1[[PRODUCTO]:[REDONDEO ML]],12,FALSE)</f>
        <v>105000</v>
      </c>
      <c r="C24" s="5" t="s">
        <v>135</v>
      </c>
    </row>
    <row r="25">
      <c r="A25" s="5" t="s">
        <v>136</v>
      </c>
      <c r="B25" s="13">
        <f>VLOOKUP(A25,Tabla_1[[PRODUCTO]:[REDONDEO ML]],12,FALSE)</f>
        <v>116900</v>
      </c>
      <c r="C25" s="5" t="s">
        <v>137</v>
      </c>
    </row>
    <row r="26">
      <c r="A26" s="5" t="s">
        <v>138</v>
      </c>
      <c r="B26" s="13">
        <f>VLOOKUP(A26,Tabla_1[[PRODUCTO]:[REDONDEO ML]],12,FALSE)</f>
        <v>49000</v>
      </c>
      <c r="C26" s="5" t="s">
        <v>139</v>
      </c>
    </row>
    <row r="27">
      <c r="A27" s="5" t="s">
        <v>140</v>
      </c>
      <c r="B27" s="13">
        <f>VLOOKUP(A27,Tabla_1[[PRODUCTO]:[REDONDEO ML]],12,FALSE)</f>
        <v>55700</v>
      </c>
      <c r="C27" s="5" t="s">
        <v>141</v>
      </c>
    </row>
    <row r="28">
      <c r="A28" s="5" t="s">
        <v>142</v>
      </c>
      <c r="B28" s="13">
        <f>VLOOKUP(A28,Tabla_1[[PRODUCTO]:[REDONDEO ML]],12,FALSE)</f>
        <v>91000</v>
      </c>
      <c r="C28" s="5" t="s">
        <v>143</v>
      </c>
    </row>
    <row r="29">
      <c r="A29" s="5" t="s">
        <v>144</v>
      </c>
      <c r="B29" s="13">
        <f>VLOOKUP(A29,Tabla_1[[PRODUCTO]:[REDONDEO ML]],12,FALSE)</f>
        <v>109900</v>
      </c>
      <c r="C29" s="5" t="s">
        <v>145</v>
      </c>
    </row>
    <row r="30">
      <c r="A30" s="5" t="s">
        <v>146</v>
      </c>
      <c r="B30" s="13">
        <f>VLOOKUP(A30,Tabla_1[[PRODUCTO]:[REDONDEO ML]],12,FALSE)</f>
        <v>84000</v>
      </c>
      <c r="C30" s="5" t="s">
        <v>147</v>
      </c>
    </row>
    <row r="31">
      <c r="A31" s="5" t="s">
        <v>148</v>
      </c>
      <c r="B31" s="13">
        <f>VLOOKUP(A31,Tabla_1[[PRODUCTO]:[REDONDEO ML]],12,FALSE)</f>
        <v>94900</v>
      </c>
      <c r="C31" s="5" t="s">
        <v>149</v>
      </c>
    </row>
    <row r="32">
      <c r="A32" s="5" t="s">
        <v>150</v>
      </c>
      <c r="B32" s="13">
        <f>VLOOKUP(A32,Tabla_1[[PRODUCTO]:[REDONDEO ML]],12,FALSE)</f>
        <v>24200</v>
      </c>
      <c r="C32" s="5" t="s">
        <v>151</v>
      </c>
    </row>
    <row r="33">
      <c r="A33" s="14" t="s">
        <v>152</v>
      </c>
      <c r="B33" s="13">
        <f>VLOOKUP(A33,Tabla_1[[PRODUCTO]:[REDONDEO ML]],12,FALSE)</f>
        <v>24200</v>
      </c>
      <c r="C33" s="5" t="s">
        <v>153</v>
      </c>
    </row>
    <row r="34">
      <c r="A34" s="14" t="s">
        <v>154</v>
      </c>
      <c r="B34" s="13">
        <f>VLOOKUP(A34,Tabla_1[[PRODUCTO]:[REDONDEO ML]],12,FALSE)</f>
        <v>24200</v>
      </c>
      <c r="C34" s="5" t="s">
        <v>155</v>
      </c>
    </row>
    <row r="35">
      <c r="A35" s="14" t="s">
        <v>156</v>
      </c>
      <c r="B35" s="13">
        <f>VLOOKUP(A35,Tabla_1[[PRODUCTO]:[REDONDEO ML]],12,FALSE)</f>
        <v>24200</v>
      </c>
      <c r="C35" s="5" t="s">
        <v>157</v>
      </c>
    </row>
    <row r="36">
      <c r="A36" s="14" t="s">
        <v>158</v>
      </c>
      <c r="B36" s="13">
        <f>VLOOKUP(A36,Tabla_1[[PRODUCTO]:[REDONDEO ML]],12,FALSE)</f>
        <v>24200</v>
      </c>
      <c r="C36" s="5" t="s">
        <v>159</v>
      </c>
    </row>
    <row r="37">
      <c r="A37" s="14" t="s">
        <v>160</v>
      </c>
      <c r="B37" s="13">
        <f>VLOOKUP(A37,Tabla_1[[PRODUCTO]:[REDONDEO ML]],12,FALSE)</f>
        <v>24200</v>
      </c>
      <c r="C37" s="5" t="s">
        <v>161</v>
      </c>
    </row>
    <row r="38">
      <c r="A38" s="5" t="s">
        <v>162</v>
      </c>
      <c r="B38" s="13">
        <f>VLOOKUP(A38,Tabla_1[[PRODUCTO]:[REDONDEO ML]],12,FALSE)</f>
        <v>50800</v>
      </c>
      <c r="C38" s="5" t="s">
        <v>163</v>
      </c>
    </row>
    <row r="39">
      <c r="A39" s="5" t="s">
        <v>164</v>
      </c>
      <c r="B39" s="13">
        <f>VLOOKUP(A39,Tabla_1[[PRODUCTO]:[REDONDEO ML]],12,FALSE)</f>
        <v>52200</v>
      </c>
      <c r="C39" s="5" t="s">
        <v>165</v>
      </c>
    </row>
    <row r="40">
      <c r="A40" s="5" t="s">
        <v>166</v>
      </c>
      <c r="B40" s="13">
        <f>VLOOKUP(A40,Tabla_1[[PRODUCTO]:[REDONDEO ML]],12,FALSE)</f>
        <v>26300</v>
      </c>
      <c r="C40" s="5" t="s">
        <v>167</v>
      </c>
    </row>
    <row r="41">
      <c r="A41" s="5" t="s">
        <v>168</v>
      </c>
      <c r="B41" s="13">
        <f>VLOOKUP(A41,Tabla_1[[PRODUCTO]:[REDONDEO ML]],12,FALSE)</f>
        <v>32200</v>
      </c>
      <c r="C41" s="5" t="s">
        <v>169</v>
      </c>
    </row>
    <row r="42">
      <c r="A42" s="14" t="s">
        <v>170</v>
      </c>
      <c r="B42" s="13">
        <f>VLOOKUP(A42,Tabla_1[[PRODUCTO]:[REDONDEO ML]],12,FALSE)</f>
        <v>15400</v>
      </c>
      <c r="C42" s="5" t="s">
        <v>171</v>
      </c>
    </row>
    <row r="43">
      <c r="A43" s="14" t="s">
        <v>172</v>
      </c>
      <c r="B43" s="13">
        <f>VLOOKUP(A43,Tabla_1[[PRODUCTO]:[REDONDEO ML]],12,FALSE)</f>
        <v>15400</v>
      </c>
      <c r="C43" s="5" t="s">
        <v>173</v>
      </c>
    </row>
    <row r="44">
      <c r="A44" s="14" t="s">
        <v>174</v>
      </c>
      <c r="B44" s="13">
        <f>VLOOKUP(A44,Tabla_1[[PRODUCTO]:[REDONDEO ML]],12,FALSE)</f>
        <v>15400</v>
      </c>
      <c r="C44" s="5" t="s">
        <v>175</v>
      </c>
    </row>
    <row r="45">
      <c r="A45" s="14" t="s">
        <v>176</v>
      </c>
      <c r="B45" s="13">
        <f>VLOOKUP(A45,Tabla_1[[PRODUCTO]:[REDONDEO ML]],12,FALSE)</f>
        <v>15400</v>
      </c>
      <c r="C45" s="5" t="s">
        <v>177</v>
      </c>
    </row>
    <row r="46">
      <c r="A46" s="5" t="s">
        <v>178</v>
      </c>
      <c r="B46" s="13">
        <f>VLOOKUP(A46,Tabla_1[[Cod interno]:[REDONDEO ML]],11,FALSE)</f>
        <v>68300</v>
      </c>
      <c r="C46" s="14" t="s">
        <v>179</v>
      </c>
    </row>
    <row r="47">
      <c r="A47" s="5" t="s">
        <v>180</v>
      </c>
      <c r="B47" s="13">
        <f>VLOOKUP(A47,Tabla_1[[Cod interno]:[REDONDEO ML]],11,FALSE)</f>
        <v>21700</v>
      </c>
      <c r="C47" s="14" t="s">
        <v>181</v>
      </c>
    </row>
    <row r="48">
      <c r="A48" s="5" t="s">
        <v>182</v>
      </c>
      <c r="B48" s="13">
        <f>VLOOKUP(A48,Tabla_1[[Cod interno]:[REDONDEO ML]],11,FALSE)</f>
        <v>20700</v>
      </c>
      <c r="C48" s="14" t="s">
        <v>183</v>
      </c>
    </row>
    <row r="49">
      <c r="A49" s="5" t="s">
        <v>184</v>
      </c>
      <c r="B49" s="13">
        <f>VLOOKUP(A49,Tabla_1[[Cod interno]:[REDONDEO ML]],11,FALSE)</f>
        <v>15800</v>
      </c>
      <c r="C49" s="14" t="s">
        <v>185</v>
      </c>
    </row>
    <row r="50">
      <c r="A50" s="5" t="s">
        <v>186</v>
      </c>
      <c r="B50" s="13">
        <f>VLOOKUP(A50,Tabla_1[[Cod interno]:[REDONDEO ML]],11,FALSE)</f>
        <v>30500</v>
      </c>
      <c r="C50" s="14" t="s">
        <v>187</v>
      </c>
    </row>
    <row r="51">
      <c r="A51" s="5" t="s">
        <v>188</v>
      </c>
      <c r="B51" s="13">
        <f>VLOOKUP(A51,Tabla_1[[Cod interno]:[REDONDEO ML]],11,FALSE)</f>
        <v>26600</v>
      </c>
      <c r="C51" s="14" t="s">
        <v>189</v>
      </c>
    </row>
    <row r="52">
      <c r="A52" s="5" t="s">
        <v>190</v>
      </c>
      <c r="B52" s="13">
        <f>VLOOKUP(A52,Tabla_1[[Cod interno]:[REDONDEO ML]],11,FALSE)</f>
        <v>32200</v>
      </c>
      <c r="C52" s="14" t="s">
        <v>191</v>
      </c>
    </row>
    <row r="53">
      <c r="A53" s="5" t="s">
        <v>192</v>
      </c>
      <c r="B53" s="13">
        <f>VLOOKUP(A53,Tabla_1[[Cod interno]:[REDONDEO ML]],11,FALSE)</f>
        <v>30800</v>
      </c>
      <c r="C53" s="14" t="s">
        <v>193</v>
      </c>
    </row>
    <row r="54">
      <c r="A54" s="5" t="s">
        <v>194</v>
      </c>
      <c r="B54" s="13">
        <f>VLOOKUP(A54,Tabla_1[[Cod interno]:[REDONDEO ML]],11,FALSE)</f>
        <v>17200</v>
      </c>
      <c r="C54" s="14" t="s">
        <v>195</v>
      </c>
    </row>
    <row r="55">
      <c r="A55" s="5" t="s">
        <v>196</v>
      </c>
      <c r="B55" s="13">
        <f>VLOOKUP(A55,Tabla_1[[Cod interno]:[REDONDEO ML]],11,FALSE)</f>
        <v>17200</v>
      </c>
      <c r="C55" s="14" t="s">
        <v>197</v>
      </c>
    </row>
    <row r="56">
      <c r="A56" s="5" t="s">
        <v>198</v>
      </c>
      <c r="B56" s="13">
        <f>VLOOKUP(A56,Tabla_1[[Cod interno]:[REDONDEO ML]],11,FALSE)</f>
        <v>22800</v>
      </c>
      <c r="C56" s="14" t="s">
        <v>199</v>
      </c>
    </row>
    <row r="57">
      <c r="A57" s="5" t="s">
        <v>200</v>
      </c>
      <c r="B57" s="13">
        <f>VLOOKUP(A57,Tabla_1[[Cod interno]:[REDONDEO ML]],11,FALSE)</f>
        <v>17200</v>
      </c>
      <c r="C57" s="14" t="s">
        <v>201</v>
      </c>
    </row>
    <row r="58">
      <c r="A58" s="5" t="s">
        <v>202</v>
      </c>
      <c r="B58" s="13">
        <f>VLOOKUP(A58,Tabla_1[[Cod interno]:[REDONDEO ML]],11,FALSE)</f>
        <v>17200</v>
      </c>
      <c r="C58" s="14" t="s">
        <v>203</v>
      </c>
    </row>
    <row r="59">
      <c r="A59" s="5" t="s">
        <v>204</v>
      </c>
      <c r="B59" s="13">
        <f>VLOOKUP(A59,Tabla_1[[Cod interno]:[REDONDEO ML]],11,FALSE)</f>
        <v>17200</v>
      </c>
      <c r="C59" s="14" t="s">
        <v>205</v>
      </c>
    </row>
    <row r="60">
      <c r="A60" s="5" t="s">
        <v>206</v>
      </c>
      <c r="B60" s="13">
        <f>VLOOKUP(A60,Tabla_1[[Cod interno]:[REDONDEO ML]],11,FALSE)</f>
        <v>17200</v>
      </c>
      <c r="C60" s="14" t="s">
        <v>207</v>
      </c>
    </row>
    <row r="61">
      <c r="A61" s="5" t="s">
        <v>208</v>
      </c>
      <c r="B61" s="13">
        <f>VLOOKUP(A61,Tabla_1[[Cod interno]:[REDONDEO ML]],11,FALSE)</f>
        <v>17200</v>
      </c>
      <c r="C61" s="14" t="s">
        <v>209</v>
      </c>
    </row>
    <row r="62">
      <c r="A62" s="5" t="s">
        <v>210</v>
      </c>
      <c r="B62" s="13">
        <f>VLOOKUP(A62,Tabla_1[[Cod interno]:[REDONDEO ML]],11,FALSE)</f>
        <v>17200</v>
      </c>
      <c r="C62" s="14" t="s">
        <v>211</v>
      </c>
    </row>
    <row r="63">
      <c r="A63" s="5" t="s">
        <v>212</v>
      </c>
      <c r="B63" s="13">
        <f>VLOOKUP(A63,Tabla_1[[Cod interno]:[REDONDEO ML]],11,FALSE)</f>
        <v>17200</v>
      </c>
      <c r="C63" s="14" t="s">
        <v>213</v>
      </c>
    </row>
    <row r="64">
      <c r="A64" s="5" t="s">
        <v>214</v>
      </c>
      <c r="B64" s="13">
        <f>VLOOKUP(A64,Tabla_1[[Cod interno]:[REDONDEO ML]],11,FALSE)</f>
        <v>17200</v>
      </c>
      <c r="C64" s="14" t="s">
        <v>215</v>
      </c>
    </row>
    <row r="65">
      <c r="A65" s="5" t="s">
        <v>216</v>
      </c>
      <c r="B65" s="13">
        <f>VLOOKUP(A65,Tabla_1[[Cod interno]:[REDONDEO ML]],11,FALSE)</f>
        <v>17200</v>
      </c>
      <c r="C65" s="14" t="s">
        <v>217</v>
      </c>
    </row>
    <row r="66">
      <c r="A66" s="5" t="s">
        <v>218</v>
      </c>
      <c r="B66" s="13">
        <f>VLOOKUP(A66,Tabla_1[[Cod interno]:[REDONDEO ML]],11,FALSE)</f>
        <v>17200</v>
      </c>
      <c r="C66" s="14" t="s">
        <v>219</v>
      </c>
    </row>
    <row r="67">
      <c r="A67" s="5" t="s">
        <v>220</v>
      </c>
      <c r="B67" s="13">
        <f>VLOOKUP(A67,Tabla_1[[Cod interno]:[REDONDEO ML]],11,FALSE)</f>
        <v>17200</v>
      </c>
      <c r="C67" s="14" t="s">
        <v>221</v>
      </c>
    </row>
    <row r="68">
      <c r="A68" s="5" t="s">
        <v>222</v>
      </c>
      <c r="B68" s="13">
        <f>VLOOKUP(A68,Tabla_1[[Cod interno]:[REDONDEO ML]],11,FALSE)</f>
        <v>17200</v>
      </c>
      <c r="C68" s="14" t="s">
        <v>223</v>
      </c>
    </row>
    <row r="69">
      <c r="A69" s="5" t="s">
        <v>224</v>
      </c>
      <c r="B69" s="13">
        <f>VLOOKUP(A69,Tabla_1[[Cod interno]:[REDONDEO ML]],11,FALSE)</f>
        <v>17200</v>
      </c>
      <c r="C69" s="14" t="s">
        <v>225</v>
      </c>
    </row>
    <row r="70">
      <c r="A70" s="5" t="s">
        <v>226</v>
      </c>
      <c r="B70" s="13">
        <f>VLOOKUP(A70,Tabla_1[[Cod interno]:[REDONDEO ML]],11,FALSE)</f>
        <v>17200</v>
      </c>
      <c r="C70" s="14" t="s">
        <v>227</v>
      </c>
    </row>
    <row r="71">
      <c r="A71" s="5" t="s">
        <v>228</v>
      </c>
      <c r="B71" s="13">
        <f>VLOOKUP(A71,Tabla_1[[Cod interno]:[REDONDEO ML]],11,FALSE)</f>
        <v>20700</v>
      </c>
      <c r="C71" s="14" t="s">
        <v>229</v>
      </c>
    </row>
    <row r="72">
      <c r="A72" s="5" t="s">
        <v>230</v>
      </c>
      <c r="B72" s="13">
        <f>VLOOKUP(A72,Tabla_1[[Cod interno]:[REDONDEO ML]],11,FALSE)</f>
        <v>20700</v>
      </c>
      <c r="C72" s="14" t="s">
        <v>231</v>
      </c>
    </row>
    <row r="73">
      <c r="A73" s="5" t="s">
        <v>232</v>
      </c>
      <c r="B73" s="13">
        <f>VLOOKUP(A73,Tabla_1[[Cod interno]:[REDONDEO ML]],11,FALSE)</f>
        <v>20700</v>
      </c>
      <c r="C73" s="14" t="s">
        <v>233</v>
      </c>
    </row>
    <row r="74">
      <c r="A74" s="5" t="s">
        <v>234</v>
      </c>
      <c r="B74" s="13">
        <f>VLOOKUP(A74,Tabla_1[[Cod interno]:[REDONDEO ML]],11,FALSE)</f>
        <v>20700</v>
      </c>
      <c r="C74" s="14" t="s">
        <v>235</v>
      </c>
    </row>
    <row r="75">
      <c r="A75" s="5" t="s">
        <v>236</v>
      </c>
      <c r="B75" s="13">
        <f>VLOOKUP(A75,Tabla_1[[Cod interno]:[REDONDEO ML]],11,FALSE)</f>
        <v>20700</v>
      </c>
      <c r="C75" s="14" t="s">
        <v>237</v>
      </c>
    </row>
    <row r="76">
      <c r="A76" s="5" t="s">
        <v>238</v>
      </c>
      <c r="B76" s="13">
        <f>VLOOKUP(A76,Tabla_1[[Cod interno]:[REDONDEO ML]],11,FALSE)</f>
        <v>20700</v>
      </c>
      <c r="C76" s="14" t="s">
        <v>239</v>
      </c>
    </row>
    <row r="77">
      <c r="A77" s="5" t="s">
        <v>240</v>
      </c>
      <c r="B77" s="13">
        <f>VLOOKUP(A77,Tabla_1[[Cod interno]:[REDONDEO ML]],11,FALSE)</f>
        <v>20700</v>
      </c>
      <c r="C77" s="14" t="s">
        <v>241</v>
      </c>
    </row>
    <row r="78">
      <c r="A78" s="5" t="s">
        <v>242</v>
      </c>
      <c r="B78" s="13">
        <f>VLOOKUP(A78,Tabla_1[[Cod interno]:[REDONDEO ML]],11,FALSE)</f>
        <v>20700</v>
      </c>
      <c r="C78" s="14" t="s">
        <v>243</v>
      </c>
    </row>
    <row r="79">
      <c r="A79" s="5" t="s">
        <v>244</v>
      </c>
      <c r="B79" s="13">
        <f>VLOOKUP(A79,Tabla_1[[Cod interno]:[REDONDEO ML]],11,FALSE)</f>
        <v>20700</v>
      </c>
      <c r="C79" s="14" t="s">
        <v>245</v>
      </c>
    </row>
    <row r="80">
      <c r="A80" s="5" t="s">
        <v>246</v>
      </c>
      <c r="B80" s="13">
        <f>VLOOKUP(A80,Tabla_1[[Cod interno]:[REDONDEO ML]],11,FALSE)</f>
        <v>49000</v>
      </c>
      <c r="C80" s="14" t="s">
        <v>247</v>
      </c>
    </row>
    <row r="81">
      <c r="A81" s="5" t="s">
        <v>248</v>
      </c>
      <c r="B81" s="13">
        <f>VLOOKUP(A81,Tabla_1[[Cod interno]:[REDONDEO ML]],11,FALSE)</f>
        <v>55300</v>
      </c>
      <c r="C81" s="14" t="s">
        <v>249</v>
      </c>
    </row>
    <row r="82">
      <c r="A82" s="5" t="s">
        <v>250</v>
      </c>
      <c r="B82" s="13">
        <f>VLOOKUP(A82,Tabla_1[[Cod interno]:[REDONDEO ML]],11,FALSE)</f>
        <v>66500</v>
      </c>
      <c r="C82" s="14" t="s">
        <v>251</v>
      </c>
    </row>
    <row r="83">
      <c r="A83" s="5" t="s">
        <v>252</v>
      </c>
      <c r="B83" s="13">
        <f>VLOOKUP(A83,Tabla_1[[Cod interno]:[REDONDEO ML]],11,FALSE)</f>
        <v>71800</v>
      </c>
      <c r="C83" s="5" t="s">
        <v>253</v>
      </c>
    </row>
  </sheetData>
  <drawing r:id="rId1"/>
  <tableParts count="1">
    <tablePart r:id="rId3"/>
  </tableParts>
</worksheet>
</file>